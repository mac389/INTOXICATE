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styles.xml" ContentType="application/vnd.openxmlformats-officedocument.spreadsheetml.styles+xml"/>
  <Override PartName="/xl/tables/table1.xml" ContentType="application/vnd.openxmlformats-officedocument.spreadsheetml.table+xml"/>
  <Override PartName="/xl/comments2.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drawings/vmlDrawing1.vml" ContentType="application/vnd.openxmlformats-officedocument.vmlDrawi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ox Book" sheetId="1" state="visible" r:id="rId3"/>
    <sheet name="INTOXICATE" sheetId="2" state="visible" r:id="rId4"/>
    <sheet name="Dashboard" sheetId="3" state="visible" r:id="rId5"/>
    <sheet name="Smartsheet not in report"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Laibah Ashfaq</author>
  </authors>
  <commentList>
    <comment ref="W1" authorId="0">
      <text>
        <r>
          <rPr>
            <sz val="10"/>
            <rFont val="Arial"/>
            <family val="2"/>
          </rPr>
          <t xml:space="preserve">Laibah Ashfaq:
Review for if they had any confirmatory testing. This includes an ethanol, acetaminophen, or salicylate level, if one of those was the primary concern. For other medications, like quetiapine, look for a "Send out Test" or "ARUP", which might be logged a few days after the consult.  Record this here andlive version of INTOXICATE/Tox Book. </t>
        </r>
      </text>
    </comment>
    <comment ref="X1" authorId="0">
      <text>
        <r>
          <rPr>
            <sz val="10"/>
            <rFont val="Arial"/>
            <family val="2"/>
          </rPr>
          <t xml:space="preserve">Laibah Ashfaq:
Review for whether the initial tox note said likely not tox. Record this here and live INTOXICATE/Tox Book. </t>
        </r>
      </text>
    </comment>
  </commentList>
</comments>
</file>

<file path=xl/sharedStrings.xml><?xml version="1.0" encoding="utf-8"?>
<sst xmlns="http://schemas.openxmlformats.org/spreadsheetml/2006/main" count="3426" uniqueCount="1070">
  <si>
    <t xml:space="preserve">INTOXICATE Status</t>
  </si>
  <si>
    <t xml:space="preserve">DOS</t>
  </si>
  <si>
    <t xml:space="preserve">Name</t>
  </si>
  <si>
    <t xml:space="preserve">DOB</t>
  </si>
  <si>
    <t xml:space="preserve">MRN</t>
  </si>
  <si>
    <t xml:space="preserve">Substance</t>
  </si>
  <si>
    <t xml:space="preserve">toxIC ID</t>
  </si>
  <si>
    <t xml:space="preserve">Pt code</t>
  </si>
  <si>
    <t xml:space="preserve">ICD-10</t>
  </si>
  <si>
    <t xml:space="preserve">OUD supplemental</t>
  </si>
  <si>
    <t xml:space="preserve">RA</t>
  </si>
  <si>
    <t xml:space="preserve">Notes</t>
  </si>
  <si>
    <t xml:space="preserve">Redcap</t>
  </si>
  <si>
    <t xml:space="preserve">Smartsheet</t>
  </si>
  <si>
    <t xml:space="preserve">added to INTOXICATE tab</t>
  </si>
  <si>
    <t xml:space="preserve">Lauren Holly</t>
  </si>
  <si>
    <t xml:space="preserve">Ethanol </t>
  </si>
  <si>
    <t xml:space="preserve">131515-1</t>
  </si>
  <si>
    <t xml:space="preserve">WCM2023-1</t>
  </si>
  <si>
    <t xml:space="preserve">F10.10?</t>
  </si>
  <si>
    <t xml:space="preserve">SR</t>
  </si>
  <si>
    <t xml:space="preserve">Avery Grace</t>
  </si>
  <si>
    <t xml:space="preserve">131515-2</t>
  </si>
  <si>
    <t xml:space="preserve">WCM2023-2</t>
  </si>
  <si>
    <t xml:space="preserve">R41.82</t>
  </si>
  <si>
    <t xml:space="preserve">Zaki Lantos</t>
  </si>
  <si>
    <t xml:space="preserve">Cannabis</t>
  </si>
  <si>
    <t xml:space="preserve">131515-3</t>
  </si>
  <si>
    <t xml:space="preserve">WCM2023-3</t>
  </si>
  <si>
    <t xml:space="preserve">F19.920</t>
  </si>
  <si>
    <t xml:space="preserve">Jose Guszman</t>
  </si>
  <si>
    <t xml:space="preserve">131515-4</t>
  </si>
  <si>
    <t xml:space="preserve">WCM2023-4</t>
  </si>
  <si>
    <t xml:space="preserve">F10.10</t>
  </si>
  <si>
    <t xml:space="preserve">Bertha Niola</t>
  </si>
  <si>
    <t xml:space="preserve">CO intox</t>
  </si>
  <si>
    <t xml:space="preserve">131515-6</t>
  </si>
  <si>
    <t xml:space="preserve">WCM2023-6</t>
  </si>
  <si>
    <t xml:space="preserve">T58.91XA</t>
  </si>
  <si>
    <t xml:space="preserve">Progress note only</t>
  </si>
  <si>
    <t xml:space="preserve">Anna Dalbello</t>
  </si>
  <si>
    <t xml:space="preserve">AMS</t>
  </si>
  <si>
    <t xml:space="preserve">131515-7</t>
  </si>
  <si>
    <t xml:space="preserve">WCM2023-7</t>
  </si>
  <si>
    <t xml:space="preserve">Consult note</t>
  </si>
  <si>
    <t xml:space="preserve">Eliot Pandev</t>
  </si>
  <si>
    <t xml:space="preserve">possible APAP</t>
  </si>
  <si>
    <t xml:space="preserve">131515-5</t>
  </si>
  <si>
    <t xml:space="preserve">WCM2023-5</t>
  </si>
  <si>
    <t xml:space="preserve">CH</t>
  </si>
  <si>
    <t xml:space="preserve">Carol Toscano</t>
  </si>
  <si>
    <t xml:space="preserve">Bupropion</t>
  </si>
  <si>
    <t xml:space="preserve">131515-8</t>
  </si>
  <si>
    <t xml:space="preserve">WCM2023-8</t>
  </si>
  <si>
    <t xml:space="preserve">Yvelisse Severino</t>
  </si>
  <si>
    <t xml:space="preserve">Household - cleaning product</t>
  </si>
  <si>
    <t xml:space="preserve">131515-9</t>
  </si>
  <si>
    <t xml:space="preserve">WCM2023-9</t>
  </si>
  <si>
    <t xml:space="preserve">Madeline Cheung</t>
  </si>
  <si>
    <t xml:space="preserve">Escitalopram</t>
  </si>
  <si>
    <t xml:space="preserve">131515-10</t>
  </si>
  <si>
    <t xml:space="preserve">WCM2023-10</t>
  </si>
  <si>
    <t xml:space="preserve">Excluded</t>
  </si>
  <si>
    <t xml:space="preserve">Gabriel Alhaddad</t>
  </si>
  <si>
    <t xml:space="preserve">none identified </t>
  </si>
  <si>
    <t xml:space="preserve">131515-11</t>
  </si>
  <si>
    <t xml:space="preserve">WCM2023-11</t>
  </si>
  <si>
    <t xml:space="preserve">Moshe Blau</t>
  </si>
  <si>
    <t xml:space="preserve">Lithium/s. cannab</t>
  </si>
  <si>
    <t xml:space="preserve">131515-12</t>
  </si>
  <si>
    <t xml:space="preserve">WCM2023-12</t>
  </si>
  <si>
    <t xml:space="preserve">Albert Hartell</t>
  </si>
  <si>
    <t xml:space="preserve">Polysubstance</t>
  </si>
  <si>
    <t xml:space="preserve">131515-13</t>
  </si>
  <si>
    <t xml:space="preserve">WCM2023-13</t>
  </si>
  <si>
    <t xml:space="preserve">Sara Jones </t>
  </si>
  <si>
    <t xml:space="preserve">EtOH</t>
  </si>
  <si>
    <t xml:space="preserve">131515-14</t>
  </si>
  <si>
    <t xml:space="preserve">WCM2023-14</t>
  </si>
  <si>
    <t xml:space="preserve">Katharine Weber</t>
  </si>
  <si>
    <t xml:space="preserve">131515-15</t>
  </si>
  <si>
    <t xml:space="preserve">WCM2023-15</t>
  </si>
  <si>
    <t xml:space="preserve">Angelo Woodley Sinclair</t>
  </si>
  <si>
    <t xml:space="preserve">Fluoxetine, lamictal, alprazolam</t>
  </si>
  <si>
    <t xml:space="preserve">131515-16</t>
  </si>
  <si>
    <t xml:space="preserve">WCM2023-16</t>
  </si>
  <si>
    <t xml:space="preserve">T50.902A</t>
  </si>
  <si>
    <t xml:space="preserve">George Friedlander</t>
  </si>
  <si>
    <t xml:space="preserve">131515-17</t>
  </si>
  <si>
    <t xml:space="preserve">WCM2023-17</t>
  </si>
  <si>
    <t xml:space="preserve">R09.89; K50.90</t>
  </si>
  <si>
    <t xml:space="preserve">Alexander Rando</t>
  </si>
  <si>
    <t xml:space="preserve">131515-18</t>
  </si>
  <si>
    <t xml:space="preserve">WCM2023-18</t>
  </si>
  <si>
    <t xml:space="preserve">R09.89</t>
  </si>
  <si>
    <t xml:space="preserve">Peyson Sam</t>
  </si>
  <si>
    <t xml:space="preserve">unknown substance (drugs in home include acetaminophen, ibuprofen, or lisinopril)</t>
  </si>
  <si>
    <t xml:space="preserve">131515-19</t>
  </si>
  <si>
    <t xml:space="preserve">WCM2023-19</t>
  </si>
  <si>
    <t xml:space="preserve">CH </t>
  </si>
  <si>
    <t xml:space="preserve">not on Smartsheet</t>
  </si>
  <si>
    <t xml:space="preserve">Naheed Masroor</t>
  </si>
  <si>
    <t xml:space="preserve">Lorazepam</t>
  </si>
  <si>
    <t xml:space="preserve">131515-20</t>
  </si>
  <si>
    <t xml:space="preserve">WCM2023-20</t>
  </si>
  <si>
    <t xml:space="preserve">both </t>
  </si>
  <si>
    <t xml:space="preserve">Diane Pedrez</t>
  </si>
  <si>
    <t xml:space="preserve">Gabapentin, Fioricet</t>
  </si>
  <si>
    <t xml:space="preserve">131515-21</t>
  </si>
  <si>
    <t xml:space="preserve">WCM2023-21</t>
  </si>
  <si>
    <t xml:space="preserve">Annie Lai </t>
  </si>
  <si>
    <t xml:space="preserve">131515-22</t>
  </si>
  <si>
    <t xml:space="preserve">WCM2023-22</t>
  </si>
  <si>
    <t xml:space="preserve">V15.89 V72.6 G40</t>
  </si>
  <si>
    <t xml:space="preserve">Theo Rosenthal </t>
  </si>
  <si>
    <t xml:space="preserve">Tylenol overdose</t>
  </si>
  <si>
    <t xml:space="preserve">131515-23</t>
  </si>
  <si>
    <t xml:space="preserve">WCM2023-23</t>
  </si>
  <si>
    <t xml:space="preserve">T14.91XA  T39.1X1A</t>
  </si>
  <si>
    <t xml:space="preserve">Richard Bennett</t>
  </si>
  <si>
    <t xml:space="preserve">OD levatiracetam </t>
  </si>
  <si>
    <t xml:space="preserve">131515-24</t>
  </si>
  <si>
    <t xml:space="preserve">WCM2023-24</t>
  </si>
  <si>
    <t xml:space="preserve">T50. 902A</t>
  </si>
  <si>
    <t xml:space="preserve">Nic Platt</t>
  </si>
  <si>
    <t xml:space="preserve">Verapimil</t>
  </si>
  <si>
    <t xml:space="preserve">131515-25</t>
  </si>
  <si>
    <t xml:space="preserve">WCM2023-25</t>
  </si>
  <si>
    <t xml:space="preserve">R09.89 R00.1</t>
  </si>
  <si>
    <t xml:space="preserve"> calcium channel toxicity</t>
  </si>
  <si>
    <t xml:space="preserve">Elizabeth Molina</t>
  </si>
  <si>
    <t xml:space="preserve">OD Risperidone</t>
  </si>
  <si>
    <t xml:space="preserve">131515-26</t>
  </si>
  <si>
    <t xml:space="preserve">WCM2023-26</t>
  </si>
  <si>
    <t xml:space="preserve">T43.591A</t>
  </si>
  <si>
    <t xml:space="preserve">Victor Solis</t>
  </si>
  <si>
    <t xml:space="preserve">N/A</t>
  </si>
  <si>
    <t xml:space="preserve">tox consulted for possible CO exposure but it was ruled out. Patient did have EtOH intoxication but unrelated to presentation. </t>
  </si>
  <si>
    <t xml:space="preserve">No</t>
  </si>
  <si>
    <t xml:space="preserve">Julissa Rivera</t>
  </si>
  <si>
    <t xml:space="preserve">not added yet</t>
  </si>
  <si>
    <t xml:space="preserve">not in redcap - question on whether this is considered a tox exposure</t>
  </si>
  <si>
    <t xml:space="preserve">Alexander Rutherfoord</t>
  </si>
  <si>
    <t xml:space="preserve">MDMA, THC, ketamine</t>
  </si>
  <si>
    <t xml:space="preserve">131515-27</t>
  </si>
  <si>
    <t xml:space="preserve">WCM2023-27</t>
  </si>
  <si>
    <t xml:space="preserve">Dr. Rao
"progress note"
Inpatient consult to toxicology CON67 in referrals
Inpatient consult to toxicology in orders</t>
  </si>
  <si>
    <t xml:space="preserve">Violet Warsavsky</t>
  </si>
  <si>
    <t xml:space="preserve">estradiol pills</t>
  </si>
  <si>
    <t xml:space="preserve">131515-28</t>
  </si>
  <si>
    <t xml:space="preserve">WCM2023-28</t>
  </si>
  <si>
    <t xml:space="preserve">Gustav Seliger</t>
  </si>
  <si>
    <t xml:space="preserve">consult for possible benzo OD, however, progress note on 4/17/2023 seems to rule out this was the cause of symptoms "Initially obtundation thought to be 2/2 poly-pharmacy, although lack of improvement I/s/o absence of severe renal and hepatic dysfunction make such hypothesis less likely. I spoke at length to the patient's wife and son today. Neither has seen evidence of empty pill bottles or rummaging through the medicine cabinet that would suggest an intentional overdose."</t>
  </si>
  <si>
    <t xml:space="preserve">Amere Mercado</t>
  </si>
  <si>
    <t xml:space="preserve">capsaicin</t>
  </si>
  <si>
    <t xml:space="preserve">131515-29</t>
  </si>
  <si>
    <t xml:space="preserve">WCM2023-29</t>
  </si>
  <si>
    <t xml:space="preserve">James Clark</t>
  </si>
  <si>
    <t xml:space="preserve">pt presented for mania and dillirium. chronic behavioral change with manic, impulsive behavior, paranoia, and agitation. He underwent extensive medical workup unrevealing of reversible cause. Neurology team suspects neurodegenerative disorder based on history and brain volume loss. Per psychiatry, his presentation is likely a combination of neurocognitive disorder in the setting of possible longstanding hypomania. 
UA, RVP, ESR, CRP, Procal, TSH/FT4, folate, B12, ammonia, HIV, RPR, heavy metal panel, and thallium level were unrevealing. benzo positive. pt received IV Thiamine supplementation </t>
  </si>
  <si>
    <t xml:space="preserve">NO</t>
  </si>
  <si>
    <t xml:space="preserve">Caroline Ritter</t>
  </si>
  <si>
    <t xml:space="preserve">AMS, toxic alcohol unspecified</t>
  </si>
  <si>
    <t xml:space="preserve">131515-31</t>
  </si>
  <si>
    <t xml:space="preserve">Zunilda Estevez</t>
  </si>
  <si>
    <t xml:space="preserve">Septic shock with multisystem organ failure
NSTEMI 
Chronic opioid use disorder </t>
  </si>
  <si>
    <t xml:space="preserve">Emilie Laverdiere</t>
  </si>
  <si>
    <t xml:space="preserve">Owen Miguel Blanco-Kenny</t>
  </si>
  <si>
    <t xml:space="preserve">tox cause r/o</t>
  </si>
  <si>
    <t xml:space="preserve">No </t>
  </si>
  <si>
    <t xml:space="preserve">Michael Maccini</t>
  </si>
  <si>
    <t xml:space="preserve">EtOH, Venlafaxine </t>
  </si>
  <si>
    <t xml:space="preserve">131515-30</t>
  </si>
  <si>
    <t xml:space="preserve">WCM2023-30</t>
  </si>
  <si>
    <t xml:space="preserve">Jennifer Munoz</t>
  </si>
  <si>
    <t xml:space="preserve">Pepto-Bismol</t>
  </si>
  <si>
    <t xml:space="preserve">131515-35</t>
  </si>
  <si>
    <t xml:space="preserve">WCM2023-35</t>
  </si>
  <si>
    <t xml:space="preserve">Gerard Mcmahon</t>
  </si>
  <si>
    <t xml:space="preserve">Tylenol</t>
  </si>
  <si>
    <t xml:space="preserve">131515-32</t>
  </si>
  <si>
    <t xml:space="preserve">WCM2023-32</t>
  </si>
  <si>
    <t xml:space="preserve">Richard Quinn</t>
  </si>
  <si>
    <t xml:space="preserve">insecticide - permethrin</t>
  </si>
  <si>
    <t xml:space="preserve">131515-36</t>
  </si>
  <si>
    <t xml:space="preserve">WCM2023-36</t>
  </si>
  <si>
    <t xml:space="preserve">Elynhacene Merfut</t>
  </si>
  <si>
    <t xml:space="preserve">advil, melatonin, etoh</t>
  </si>
  <si>
    <t xml:space="preserve">131515-33</t>
  </si>
  <si>
    <t xml:space="preserve">WCM2023-33</t>
  </si>
  <si>
    <t xml:space="preserve">Estelle Altman</t>
  </si>
  <si>
    <t xml:space="preserve">Tox consulted and followed patient for possible methemoglobin or sulfhemoglobin but r/o</t>
  </si>
  <si>
    <t xml:space="preserve">keppra</t>
  </si>
  <si>
    <t xml:space="preserve">131515-34</t>
  </si>
  <si>
    <t xml:space="preserve">WCM2023-34</t>
  </si>
  <si>
    <t xml:space="preserve">Penelope Sabharwal</t>
  </si>
  <si>
    <t xml:space="preserve">eucalyptus</t>
  </si>
  <si>
    <t xml:space="preserve">131515-37</t>
  </si>
  <si>
    <t xml:space="preserve">WCM2023-37</t>
  </si>
  <si>
    <t xml:space="preserve">Jeff Schiff</t>
  </si>
  <si>
    <t xml:space="preserve">crystal meth, GHB</t>
  </si>
  <si>
    <t xml:space="preserve">131515-38</t>
  </si>
  <si>
    <t xml:space="preserve">WCM2023-38</t>
  </si>
  <si>
    <t xml:space="preserve">Robert Llin</t>
  </si>
  <si>
    <t xml:space="preserve">methadone</t>
  </si>
  <si>
    <t xml:space="preserve">131515-39</t>
  </si>
  <si>
    <t xml:space="preserve">WCM2023-39</t>
  </si>
  <si>
    <t xml:space="preserve">William Quiles</t>
  </si>
  <si>
    <t xml:space="preserve">lithium</t>
  </si>
  <si>
    <t xml:space="preserve">131515-40</t>
  </si>
  <si>
    <t xml:space="preserve">WCM2023-40</t>
  </si>
  <si>
    <t xml:space="preserve">Isaias Villa</t>
  </si>
  <si>
    <t xml:space="preserve">THC</t>
  </si>
  <si>
    <t xml:space="preserve">THC ingestion, however, tox consult notes that presentation is not consistent with THC use. </t>
  </si>
  <si>
    <t xml:space="preserve">Melissa Alvarado</t>
  </si>
  <si>
    <t xml:space="preserve">patient presented following what she thinks was a panic attack. during presentation, disclosed she ingested an unknown amount of her mother's pills 4 days prior. tox consulted and given time period, patient was cleared from a tox perspective</t>
  </si>
  <si>
    <t xml:space="preserve">Ruby Koppel</t>
  </si>
  <si>
    <t xml:space="preserve">increasing Li level secondary to decreased clearance due to acute renal failure and leukocytosis</t>
  </si>
  <si>
    <t xml:space="preserve">both</t>
  </si>
  <si>
    <t xml:space="preserve">Mahaut Brooks</t>
  </si>
  <si>
    <t xml:space="preserve">oxycodone, methadone, clonazepam, ketamine, MDMA</t>
  </si>
  <si>
    <t xml:space="preserve">131515-42</t>
  </si>
  <si>
    <t xml:space="preserve">WCM2023-42</t>
  </si>
  <si>
    <t xml:space="preserve">Brittany Saunders</t>
  </si>
  <si>
    <t xml:space="preserve">Sean Kolenovic</t>
  </si>
  <si>
    <t xml:space="preserve">dexmethylphenidate</t>
  </si>
  <si>
    <t xml:space="preserve">131515-41</t>
  </si>
  <si>
    <t xml:space="preserve">WCM2023-41</t>
  </si>
  <si>
    <t xml:space="preserve">Marissa Hosein</t>
  </si>
  <si>
    <t xml:space="preserve">Keifer Kurtz</t>
  </si>
  <si>
    <t xml:space="preserve">Patient was concerned of serotonin syndrome following syncopal episode. Cleared by tox - symptoms did not meet criteria for serotonin syndrome</t>
  </si>
  <si>
    <t xml:space="preserve">Michael Coelho</t>
  </si>
  <si>
    <t xml:space="preserve">gabapentin, trazodonex</t>
  </si>
  <si>
    <t xml:space="preserve">131515-43</t>
  </si>
  <si>
    <t xml:space="preserve">WCM2023-43</t>
  </si>
  <si>
    <t xml:space="preserve">Shira Klatzko</t>
  </si>
  <si>
    <t xml:space="preserve">Codein, Tramadol, Lorazepam, Diazepam, Alprozolam</t>
  </si>
  <si>
    <t xml:space="preserve">131515-44</t>
  </si>
  <si>
    <t xml:space="preserve">WCM2023-44</t>
  </si>
  <si>
    <t xml:space="preserve">F13.939</t>
  </si>
  <si>
    <t xml:space="preserve">Ilia Bezdetko</t>
  </si>
  <si>
    <t xml:space="preserve">Hydroxyzine, Wellbutrin</t>
  </si>
  <si>
    <t xml:space="preserve">131515-45</t>
  </si>
  <si>
    <t xml:space="preserve">WCM2023-45</t>
  </si>
  <si>
    <t xml:space="preserve">oxycodone, promethazine hydrochlorate, fentanyl </t>
  </si>
  <si>
    <t xml:space="preserve">131515-46</t>
  </si>
  <si>
    <t xml:space="preserve">WCM2023-46</t>
  </si>
  <si>
    <t xml:space="preserve">Kristiana Hubley</t>
  </si>
  <si>
    <t xml:space="preserve">albendazole; sertraline? </t>
  </si>
  <si>
    <t xml:space="preserve">131515-47</t>
  </si>
  <si>
    <t xml:space="preserve">WCM2023-47</t>
  </si>
  <si>
    <t xml:space="preserve">G92</t>
  </si>
  <si>
    <t xml:space="preserve">Kanak Sharma</t>
  </si>
  <si>
    <t xml:space="preserve">131515-48</t>
  </si>
  <si>
    <t xml:space="preserve">WCM2023-48</t>
  </si>
  <si>
    <t xml:space="preserve">Kassandra Munoz</t>
  </si>
  <si>
    <t xml:space="preserve">Advil</t>
  </si>
  <si>
    <t xml:space="preserve">131515-49</t>
  </si>
  <si>
    <t xml:space="preserve">WCM2023-49</t>
  </si>
  <si>
    <t xml:space="preserve">Rita Acevedo</t>
  </si>
  <si>
    <t xml:space="preserve">Heparin drip error</t>
  </si>
  <si>
    <t xml:space="preserve">131515-50</t>
  </si>
  <si>
    <t xml:space="preserve">WCM2023-50</t>
  </si>
  <si>
    <t xml:space="preserve">Damon Chin</t>
  </si>
  <si>
    <t xml:space="preserve">remote THC and shroom use in setting of chest pain</t>
  </si>
  <si>
    <t xml:space="preserve">131515-51</t>
  </si>
  <si>
    <t xml:space="preserve">WCM2023-51</t>
  </si>
  <si>
    <t xml:space="preserve">need to answer mushroom exposure question in both redcap and PDF</t>
  </si>
  <si>
    <t xml:space="preserve">Juan Chilan</t>
  </si>
  <si>
    <t xml:space="preserve">hydrofloric acid exposure</t>
  </si>
  <si>
    <t xml:space="preserve">131515-52</t>
  </si>
  <si>
    <t xml:space="preserve">WCM2023-52</t>
  </si>
  <si>
    <t xml:space="preserve">R68.89</t>
  </si>
  <si>
    <t xml:space="preserve">Daniel Dominguez</t>
  </si>
  <si>
    <t xml:space="preserve">EtOH, Cannabis</t>
  </si>
  <si>
    <t xml:space="preserve">did not enter into redcap </t>
  </si>
  <si>
    <t xml:space="preserve">Gabriel Dayan</t>
  </si>
  <si>
    <t xml:space="preserve">R20.2</t>
  </si>
  <si>
    <t xml:space="preserve">Not on redcap - Tingling, no tox consult</t>
  </si>
  <si>
    <t xml:space="preserve">Hing Wai Lam</t>
  </si>
  <si>
    <t xml:space="preserve">on lithium</t>
  </si>
  <si>
    <t xml:space="preserve">131515-53</t>
  </si>
  <si>
    <t xml:space="preserve">WCM2023-53</t>
  </si>
  <si>
    <t xml:space="preserve">**</t>
  </si>
  <si>
    <t xml:space="preserve">Grace Lesser</t>
  </si>
  <si>
    <t xml:space="preserve">Tide Pod</t>
  </si>
  <si>
    <t xml:space="preserve">131515-54</t>
  </si>
  <si>
    <t xml:space="preserve">WCM2023-54</t>
  </si>
  <si>
    <t xml:space="preserve">Itta Barber</t>
  </si>
  <si>
    <t xml:space="preserve">CBD/THC gummies</t>
  </si>
  <si>
    <t xml:space="preserve">131515-55</t>
  </si>
  <si>
    <t xml:space="preserve">WCM2023-55</t>
  </si>
  <si>
    <t xml:space="preserve">F12.129</t>
  </si>
  <si>
    <t xml:space="preserve">Kathryne Gigler</t>
  </si>
  <si>
    <t xml:space="preserve">IVDU, Fentanyl, Xylazine </t>
  </si>
  <si>
    <t xml:space="preserve">131515-56</t>
  </si>
  <si>
    <t xml:space="preserve">WCM2023-56</t>
  </si>
  <si>
    <t xml:space="preserve">F11.20, F19.10</t>
  </si>
  <si>
    <t xml:space="preserve">Sheylene Mercado</t>
  </si>
  <si>
    <t xml:space="preserve">venlaxfaxine, lamotrigine</t>
  </si>
  <si>
    <t xml:space="preserve">131515-57</t>
  </si>
  <si>
    <t xml:space="preserve">WCM2023-57</t>
  </si>
  <si>
    <t xml:space="preserve">Jan Willem W Van Haaren</t>
  </si>
  <si>
    <t xml:space="preserve">niacin</t>
  </si>
  <si>
    <t xml:space="preserve">131515-58</t>
  </si>
  <si>
    <t xml:space="preserve">WCM2023-58</t>
  </si>
  <si>
    <t xml:space="preserve">Reem Alamri</t>
  </si>
  <si>
    <t xml:space="preserve">Mirtazapine</t>
  </si>
  <si>
    <t xml:space="preserve">131515-59</t>
  </si>
  <si>
    <t xml:space="preserve">WCM2023-59</t>
  </si>
  <si>
    <t xml:space="preserve">Moshe Elirone</t>
  </si>
  <si>
    <t xml:space="preserve">Tylenol, ibuprofen, risperdol, zyrtec, wine</t>
  </si>
  <si>
    <t xml:space="preserve">131515-60</t>
  </si>
  <si>
    <t xml:space="preserve">WCM2023-60</t>
  </si>
  <si>
    <t xml:space="preserve">Gabapentin</t>
  </si>
  <si>
    <t xml:space="preserve">131515-61</t>
  </si>
  <si>
    <t xml:space="preserve">WCM2023-61</t>
  </si>
  <si>
    <t xml:space="preserve">Mallorie Brehm</t>
  </si>
  <si>
    <t xml:space="preserve">alcohol, patient concerned she was given "roofie"</t>
  </si>
  <si>
    <t xml:space="preserve">131515-62</t>
  </si>
  <si>
    <t xml:space="preserve">WCM2023-62</t>
  </si>
  <si>
    <t xml:space="preserve">Nicholas Samstag</t>
  </si>
  <si>
    <t xml:space="preserve">Thiazide </t>
  </si>
  <si>
    <t xml:space="preserve">131515-65</t>
  </si>
  <si>
    <t xml:space="preserve">WCM2023-65</t>
  </si>
  <si>
    <t xml:space="preserve">Elliott Josiah Santiago</t>
  </si>
  <si>
    <t xml:space="preserve">laundry detergent</t>
  </si>
  <si>
    <t xml:space="preserve">131515-63</t>
  </si>
  <si>
    <t xml:space="preserve">WCM2023-63</t>
  </si>
  <si>
    <t xml:space="preserve">Krystle Bonifaz</t>
  </si>
  <si>
    <t xml:space="preserve">131515-64</t>
  </si>
  <si>
    <t xml:space="preserve">WCM2023-64</t>
  </si>
  <si>
    <t xml:space="preserve">Alana Rush</t>
  </si>
  <si>
    <t xml:space="preserve">Chloramine gas</t>
  </si>
  <si>
    <t xml:space="preserve">131515-66</t>
  </si>
  <si>
    <t xml:space="preserve">WCM2023-66</t>
  </si>
  <si>
    <t xml:space="preserve">131515-67</t>
  </si>
  <si>
    <t xml:space="preserve">WCM2023-67</t>
  </si>
  <si>
    <t xml:space="preserve">Keppra</t>
  </si>
  <si>
    <t xml:space="preserve">131515-68</t>
  </si>
  <si>
    <t xml:space="preserve">WCM2023-68</t>
  </si>
  <si>
    <t xml:space="preserve">Hunter Hahm</t>
  </si>
  <si>
    <t xml:space="preserve">Acetaminophen</t>
  </si>
  <si>
    <t xml:space="preserve">131515-69</t>
  </si>
  <si>
    <t xml:space="preserve">WCM2023-69</t>
  </si>
  <si>
    <t xml:space="preserve">Erisbel Tejada</t>
  </si>
  <si>
    <t xml:space="preserve">Motrin</t>
  </si>
  <si>
    <t xml:space="preserve">131515-70</t>
  </si>
  <si>
    <t xml:space="preserve">WCM2023-70</t>
  </si>
  <si>
    <t xml:space="preserve">Quadir Kennedy</t>
  </si>
  <si>
    <t xml:space="preserve">THC gummy</t>
  </si>
  <si>
    <t xml:space="preserve">131515-71</t>
  </si>
  <si>
    <t xml:space="preserve">WCM2023-71</t>
  </si>
  <si>
    <t xml:space="preserve">Lucia Hufnagel-Cano</t>
  </si>
  <si>
    <t xml:space="preserve">131515-72</t>
  </si>
  <si>
    <t xml:space="preserve">WCM2023-72</t>
  </si>
  <si>
    <t xml:space="preserve">Scarlett Clevenger</t>
  </si>
  <si>
    <t xml:space="preserve">Trazodone</t>
  </si>
  <si>
    <t xml:space="preserve">131515-73</t>
  </si>
  <si>
    <t xml:space="preserve">WCM2023-73</t>
  </si>
  <si>
    <t xml:space="preserve">Luck Li</t>
  </si>
  <si>
    <t xml:space="preserve">essential oils</t>
  </si>
  <si>
    <t xml:space="preserve">131515-74</t>
  </si>
  <si>
    <t xml:space="preserve">WCM2023-74</t>
  </si>
  <si>
    <t xml:space="preserve">Arisa Tyler</t>
  </si>
  <si>
    <t xml:space="preserve">prozac</t>
  </si>
  <si>
    <t xml:space="preserve">131515-75</t>
  </si>
  <si>
    <t xml:space="preserve">WCM2023-75</t>
  </si>
  <si>
    <t xml:space="preserve">Roman Arkhipov</t>
  </si>
  <si>
    <t xml:space="preserve">unknown substance; suspicion for synthetic cathinones</t>
  </si>
  <si>
    <t xml:space="preserve">131515-76</t>
  </si>
  <si>
    <t xml:space="preserve">WCM2023-76</t>
  </si>
  <si>
    <t xml:space="preserve">Anibel Bravo</t>
  </si>
  <si>
    <t xml:space="preserve">hydrofluoric acid burn</t>
  </si>
  <si>
    <t xml:space="preserve">131515-77</t>
  </si>
  <si>
    <t xml:space="preserve">WCM2023-77</t>
  </si>
  <si>
    <t xml:space="preserve">Mayra Guedez</t>
  </si>
  <si>
    <t xml:space="preserve">tylenol </t>
  </si>
  <si>
    <t xml:space="preserve">131515-78</t>
  </si>
  <si>
    <t xml:space="preserve">WCM2023-78</t>
  </si>
  <si>
    <t xml:space="preserve">Noura Shafshak</t>
  </si>
  <si>
    <t xml:space="preserve">percocet and penicillin</t>
  </si>
  <si>
    <t xml:space="preserve">131515-79</t>
  </si>
  <si>
    <t xml:space="preserve">WCM2023-79</t>
  </si>
  <si>
    <t xml:space="preserve">Anthony Crespo</t>
  </si>
  <si>
    <t xml:space="preserve">131515-80</t>
  </si>
  <si>
    <t xml:space="preserve">WCM2023-80</t>
  </si>
  <si>
    <t xml:space="preserve">Sydelle Gaines</t>
  </si>
  <si>
    <t xml:space="preserve">no tox consult - presented for headache and vomiting, included in tox report because of progress note authored by Dr. Rao</t>
  </si>
  <si>
    <t xml:space="preserve">Michael Thorne</t>
  </si>
  <si>
    <t xml:space="preserve">smoke inhalation</t>
  </si>
  <si>
    <t xml:space="preserve">131515-82</t>
  </si>
  <si>
    <t xml:space="preserve">WCM2023-82</t>
  </si>
  <si>
    <t xml:space="preserve">Herminia Munoz</t>
  </si>
  <si>
    <t xml:space="preserve">unknown - possibe inhalation of chemicals</t>
  </si>
  <si>
    <t xml:space="preserve">131515-83</t>
  </si>
  <si>
    <t xml:space="preserve">WCM2023-83</t>
  </si>
  <si>
    <t xml:space="preserve">Oliver Dvorak</t>
  </si>
  <si>
    <t xml:space="preserve">no tox consult found for encounter - per chart notes patient was cleared from a tox perspective</t>
  </si>
  <si>
    <t xml:space="preserve">Luis Fiestas</t>
  </si>
  <si>
    <t xml:space="preserve">carbon monoxide</t>
  </si>
  <si>
    <t xml:space="preserve">131515-84</t>
  </si>
  <si>
    <t xml:space="preserve">WCM2023-84</t>
  </si>
  <si>
    <t xml:space="preserve">Christian Gonsalez Sotelo</t>
  </si>
  <si>
    <t xml:space="preserve">131515-85</t>
  </si>
  <si>
    <t xml:space="preserve">WCM2023-85</t>
  </si>
  <si>
    <t xml:space="preserve">Liza Grant</t>
  </si>
  <si>
    <t xml:space="preserve">depakote</t>
  </si>
  <si>
    <t xml:space="preserve">131515-86</t>
  </si>
  <si>
    <t xml:space="preserve">WCM2023-86</t>
  </si>
  <si>
    <t xml:space="preserve">Adrian Holiday</t>
  </si>
  <si>
    <t xml:space="preserve">concern for rat poison ingestion</t>
  </si>
  <si>
    <t xml:space="preserve">131515-87</t>
  </si>
  <si>
    <t xml:space="preserve">WCM2023-87</t>
  </si>
  <si>
    <t xml:space="preserve">Assia Abdulkader</t>
  </si>
  <si>
    <t xml:space="preserve">oxycodone and ibuprofen</t>
  </si>
  <si>
    <t xml:space="preserve">131515-88</t>
  </si>
  <si>
    <t xml:space="preserve">WCM2023-88</t>
  </si>
  <si>
    <t xml:space="preserve">Raya Shenker</t>
  </si>
  <si>
    <t xml:space="preserve">concern for foreign body ingestion</t>
  </si>
  <si>
    <t xml:space="preserve">131515-89</t>
  </si>
  <si>
    <t xml:space="preserve">WCM2023-89</t>
  </si>
  <si>
    <t xml:space="preserve">Alivia Gaddy</t>
  </si>
  <si>
    <t xml:space="preserve">131515-90</t>
  </si>
  <si>
    <t xml:space="preserve">WCM2023-90</t>
  </si>
  <si>
    <t xml:space="preserve">Chloe Marie Sirignano</t>
  </si>
  <si>
    <t xml:space="preserve">fluid from glowstick</t>
  </si>
  <si>
    <t xml:space="preserve">131515-91</t>
  </si>
  <si>
    <t xml:space="preserve">WCM2023-91</t>
  </si>
  <si>
    <t xml:space="preserve">Olenka Lysetska</t>
  </si>
  <si>
    <t xml:space="preserve">no tox note in chart for this encounter</t>
  </si>
  <si>
    <t xml:space="preserve">Sarah Rabinowitz</t>
  </si>
  <si>
    <t xml:space="preserve">atenolol 25, metop tartrate 50, 5 sublingual ntg tabs and nitroglycerin patch</t>
  </si>
  <si>
    <t xml:space="preserve">Yanko H Tavarez</t>
  </si>
  <si>
    <t xml:space="preserve">no documented ingestion or intox</t>
  </si>
  <si>
    <t xml:space="preserve">Briona Davis</t>
  </si>
  <si>
    <t xml:space="preserve">Lithium (120 pills of 300mg Li)</t>
  </si>
  <si>
    <t xml:space="preserve">Erin E White</t>
  </si>
  <si>
    <t xml:space="preserve">Elevated ithium levels</t>
  </si>
  <si>
    <t xml:space="preserve">Robert L Smith</t>
  </si>
  <si>
    <t xml:space="preserve"> 40-80 one-milligram tabs of Ativan, a handful of gabapentin (300 mg each) and fluvoxamine</t>
  </si>
  <si>
    <t xml:space="preserve">Rajesh Parikh</t>
  </si>
  <si>
    <t xml:space="preserve">Kang Shing Tang</t>
  </si>
  <si>
    <t xml:space="preserve">Keyesha Knight</t>
  </si>
  <si>
    <t xml:space="preserve">Sek Gee Kung</t>
  </si>
  <si>
    <t xml:space="preserve">Wai Chi Luk</t>
  </si>
  <si>
    <t xml:space="preserve">Joan Freeman</t>
  </si>
  <si>
    <t xml:space="preserve">Jovino Guzman</t>
  </si>
  <si>
    <t xml:space="preserve">Jacob Feigenberg</t>
  </si>
  <si>
    <t xml:space="preserve">Brian May</t>
  </si>
  <si>
    <t xml:space="preserve">Christopher Conroy</t>
  </si>
  <si>
    <t xml:space="preserve">Katherine Brown</t>
  </si>
  <si>
    <t xml:space="preserve">Stanley Sitarski</t>
  </si>
  <si>
    <t xml:space="preserve">Mee L Eng</t>
  </si>
  <si>
    <t xml:space="preserve">Cristy Montilla Abreu</t>
  </si>
  <si>
    <t xml:space="preserve">Jesus Gomez-Gonzalez</t>
  </si>
  <si>
    <t xml:space="preserve">Jaclyn R Veneroso</t>
  </si>
  <si>
    <t xml:space="preserve">Jonas Usdin</t>
  </si>
  <si>
    <t xml:space="preserve">Asher Flores</t>
  </si>
  <si>
    <t xml:space="preserve">Betty Schanback</t>
  </si>
  <si>
    <t xml:space="preserve">no Tox consult - presented for assault, included in tox report because of a progress note done by Dr. Moore</t>
  </si>
  <si>
    <t xml:space="preserve">Olsi Rrucaj</t>
  </si>
  <si>
    <t xml:space="preserve">Jerzy Zajaczkowski</t>
  </si>
  <si>
    <t xml:space="preserve">Maddi Kimberling</t>
  </si>
  <si>
    <t xml:space="preserve">Rodrigo Marin</t>
  </si>
  <si>
    <t xml:space="preserve">Tiffiney Monagas</t>
  </si>
  <si>
    <t xml:space="preserve">Manuel Miranda</t>
  </si>
  <si>
    <t xml:space="preserve">Kristen Ridgway</t>
  </si>
  <si>
    <t xml:space="preserve">Molly Nettles</t>
  </si>
  <si>
    <t xml:space="preserve">Luka Balac</t>
  </si>
  <si>
    <t xml:space="preserve">Jaliyah Henry</t>
  </si>
  <si>
    <t xml:space="preserve">Sheila Marie Quijano</t>
  </si>
  <si>
    <t xml:space="preserve">William Christopher Nakata</t>
  </si>
  <si>
    <t xml:space="preserve">Jose D Coutinho</t>
  </si>
  <si>
    <t xml:space="preserve">no Tox consult - presented for SOB, included in tox report because of a progress note done by Dr. Rao</t>
  </si>
  <si>
    <t xml:space="preserve">Esvin Cruz</t>
  </si>
  <si>
    <t xml:space="preserve">Johnny Toc Coroxon</t>
  </si>
  <si>
    <t xml:space="preserve">Shubhang Arora</t>
  </si>
  <si>
    <t xml:space="preserve">Bernadette Borromeo-Charles</t>
  </si>
  <si>
    <t xml:space="preserve">Zuri Yoosuf</t>
  </si>
  <si>
    <t xml:space="preserve">Laura Cullem</t>
  </si>
  <si>
    <t xml:space="preserve">Edgar Rodriguez</t>
  </si>
  <si>
    <t xml:space="preserve">Cheikh Fall</t>
  </si>
  <si>
    <t xml:space="preserve">Viana Sanchez</t>
  </si>
  <si>
    <t xml:space="preserve">Serenity Lemus</t>
  </si>
  <si>
    <t xml:space="preserve">Vibeke Tynan</t>
  </si>
  <si>
    <t xml:space="preserve">Judy Bernstock</t>
  </si>
  <si>
    <t xml:space="preserve">Carla Saad Marcovich</t>
  </si>
  <si>
    <t xml:space="preserve">Alirio Ramon Caldera</t>
  </si>
  <si>
    <t xml:space="preserve">Shira Plutchok</t>
  </si>
  <si>
    <t xml:space="preserve">Chloe Pulier</t>
  </si>
  <si>
    <t xml:space="preserve">Md Islam</t>
  </si>
  <si>
    <t xml:space="preserve">Tamara Fuller</t>
  </si>
  <si>
    <t xml:space="preserve">Pierre Deacon</t>
  </si>
  <si>
    <t xml:space="preserve">Ernesto Morales</t>
  </si>
  <si>
    <t xml:space="preserve">Leiner Agrochirinos</t>
  </si>
  <si>
    <t xml:space="preserve">Hailey Elkind</t>
  </si>
  <si>
    <t xml:space="preserve">Eddie Acevedo</t>
  </si>
  <si>
    <t xml:space="preserve">Jose Bobe</t>
  </si>
  <si>
    <t xml:space="preserve">Harrison Hedaya</t>
  </si>
  <si>
    <t xml:space="preserve">Gittel Ungar</t>
  </si>
  <si>
    <t xml:space="preserve">Grace Young</t>
  </si>
  <si>
    <t xml:space="preserve">Kerrybrook Ellis</t>
  </si>
  <si>
    <t xml:space="preserve">Jovany Marin Larios</t>
  </si>
  <si>
    <t xml:space="preserve">Susan Manderson</t>
  </si>
  <si>
    <t xml:space="preserve">Theodore Dominic Tomasini</t>
  </si>
  <si>
    <t xml:space="preserve">Donna Heaney</t>
  </si>
  <si>
    <t xml:space="preserve">Eric Perelta</t>
  </si>
  <si>
    <t xml:space="preserve">Cynthia Lanzino</t>
  </si>
  <si>
    <t xml:space="preserve">Jack Morrissey</t>
  </si>
  <si>
    <t xml:space="preserve">Audrey Gallo</t>
  </si>
  <si>
    <t xml:space="preserve">Xie Xi Huang</t>
  </si>
  <si>
    <t xml:space="preserve">Nyaleah Garcia</t>
  </si>
  <si>
    <t xml:space="preserve">Neal Garcia</t>
  </si>
  <si>
    <t xml:space="preserve">Destiny Silva</t>
  </si>
  <si>
    <t xml:space="preserve">Gary W Alden</t>
  </si>
  <si>
    <t xml:space="preserve">Kiley Young</t>
  </si>
  <si>
    <t xml:space="preserve">Steven Nunez</t>
  </si>
  <si>
    <t xml:space="preserve">Asher Fishbach</t>
  </si>
  <si>
    <t xml:space="preserve">Fiza Poonia</t>
  </si>
  <si>
    <t xml:space="preserve">Viviane Cen Apostol</t>
  </si>
  <si>
    <t xml:space="preserve">Shaurya Shah</t>
  </si>
  <si>
    <t xml:space="preserve">Harper R Rosenberg</t>
  </si>
  <si>
    <t xml:space="preserve">Caitlin Seguin-Gumanti</t>
  </si>
  <si>
    <t xml:space="preserve">Genisis Gross</t>
  </si>
  <si>
    <t xml:space="preserve">Anya Ami Nagarajan</t>
  </si>
  <si>
    <t xml:space="preserve">Luke Carpenter</t>
  </si>
  <si>
    <t xml:space="preserve">Evelyn Orrego Toro</t>
  </si>
  <si>
    <t xml:space="preserve">Krizna Alonso</t>
  </si>
  <si>
    <t xml:space="preserve">Amora Phillip</t>
  </si>
  <si>
    <t xml:space="preserve">Natividad Silva</t>
  </si>
  <si>
    <t xml:space="preserve">Natalie Berson</t>
  </si>
  <si>
    <t xml:space="preserve">Joseph Bunnicelli</t>
  </si>
  <si>
    <t xml:space="preserve">Lily Raymundo</t>
  </si>
  <si>
    <t xml:space="preserve">Le Ting Jiang</t>
  </si>
  <si>
    <t xml:space="preserve">Theodore Blank</t>
  </si>
  <si>
    <t xml:space="preserve">Jean Mcdonald</t>
  </si>
  <si>
    <t xml:space="preserve">Angelica Merchan</t>
  </si>
  <si>
    <t xml:space="preserve">Jaime Arellano</t>
  </si>
  <si>
    <t xml:space="preserve">already in INTOXICATE via DOTS</t>
  </si>
  <si>
    <t xml:space="preserve">John Matthews</t>
  </si>
  <si>
    <t xml:space="preserve">Kyng Zion Ortiz</t>
  </si>
  <si>
    <t xml:space="preserve">Alberto Meschino</t>
  </si>
  <si>
    <t xml:space="preserve">Jared N White</t>
  </si>
  <si>
    <t xml:space="preserve">Cory Silverstein</t>
  </si>
  <si>
    <t xml:space="preserve">Qi Lin</t>
  </si>
  <si>
    <t xml:space="preserve">Penny Brewers</t>
  </si>
  <si>
    <t xml:space="preserve">Amanda Church</t>
  </si>
  <si>
    <t xml:space="preserve">Ira Schwartz</t>
  </si>
  <si>
    <t xml:space="preserve">Maria Van Nievelt Garrido</t>
  </si>
  <si>
    <t xml:space="preserve">Ian Ross</t>
  </si>
  <si>
    <t xml:space="preserve">Frederick Ivester</t>
  </si>
  <si>
    <t xml:space="preserve">Sharon Elmore</t>
  </si>
  <si>
    <t xml:space="preserve">Ashlynne Ford</t>
  </si>
  <si>
    <t xml:space="preserve">Joseph Mcgivney</t>
  </si>
  <si>
    <t xml:space="preserve">Nahomi Barroso</t>
  </si>
  <si>
    <t xml:space="preserve">Tyrease Wheeler</t>
  </si>
  <si>
    <t xml:space="preserve">Tylin Rashaud Wheeler</t>
  </si>
  <si>
    <t xml:space="preserve">Tingting Liu</t>
  </si>
  <si>
    <t xml:space="preserve">Islo Pariserakos</t>
  </si>
  <si>
    <t xml:space="preserve">Vaughn P. Slovak</t>
  </si>
  <si>
    <t xml:space="preserve">Brayan Solar Lopera</t>
  </si>
  <si>
    <t xml:space="preserve">Toby Hollender</t>
  </si>
  <si>
    <t xml:space="preserve">Akiva Glick</t>
  </si>
  <si>
    <t xml:space="preserve">Jassaquay Tucker</t>
  </si>
  <si>
    <t xml:space="preserve">Janai Carrington</t>
  </si>
  <si>
    <t xml:space="preserve">no Tox consult - included in tox report because of a progress note done by Dr. Weiner</t>
  </si>
  <si>
    <t xml:space="preserve">Jose Navarro</t>
  </si>
  <si>
    <t xml:space="preserve">Nicoles Mota</t>
  </si>
  <si>
    <t xml:space="preserve">Terence Hardwick</t>
  </si>
  <si>
    <t xml:space="preserve">Moises Josue Gonzalez Martinez</t>
  </si>
  <si>
    <t xml:space="preserve">Ernie Bates</t>
  </si>
  <si>
    <t xml:space="preserve">Moises Garcia</t>
  </si>
  <si>
    <t xml:space="preserve">William Michael Oliver</t>
  </si>
  <si>
    <t xml:space="preserve">Morry Gerber</t>
  </si>
  <si>
    <t xml:space="preserve">Zhong Huang</t>
  </si>
  <si>
    <t xml:space="preserve">no Tox consult - presented for back pain, included in tox report because of a progress note done by Dr. Weiner</t>
  </si>
  <si>
    <t xml:space="preserve">Jaden Cotledge</t>
  </si>
  <si>
    <t xml:space="preserve">Raquel Fabre</t>
  </si>
  <si>
    <t xml:space="preserve">Larry Boyd</t>
  </si>
  <si>
    <t xml:space="preserve">Martin Savinon</t>
  </si>
  <si>
    <t xml:space="preserve">no Tox consult - presented for hernia, included in tox report because of a progress note done by resident Dr. Stewart</t>
  </si>
  <si>
    <t xml:space="preserve">Rio McIellan</t>
  </si>
  <si>
    <t xml:space="preserve">Sincere Lewis</t>
  </si>
  <si>
    <t xml:space="preserve">Gary Schoenhaar</t>
  </si>
  <si>
    <t xml:space="preserve">Kristopher Ramos</t>
  </si>
  <si>
    <t xml:space="preserve">Zheng Ru Guo</t>
  </si>
  <si>
    <t xml:space="preserve">Clark Warren</t>
  </si>
  <si>
    <t xml:space="preserve">Max Hendricks</t>
  </si>
  <si>
    <t xml:space="preserve">Jax Fuchs</t>
  </si>
  <si>
    <t xml:space="preserve">Abigail Leff</t>
  </si>
  <si>
    <t xml:space="preserve">Angela Alcantara De Aristi</t>
  </si>
  <si>
    <t xml:space="preserve">Esty Moskowitz</t>
  </si>
  <si>
    <t xml:space="preserve">Ethan James Tierno</t>
  </si>
  <si>
    <t xml:space="preserve">Anthony Rucco</t>
  </si>
  <si>
    <t xml:space="preserve">Camila Garcia</t>
  </si>
  <si>
    <t xml:space="preserve">Rituxamab infusion reaction</t>
  </si>
  <si>
    <t xml:space="preserve">Yazan Saleh Alshehri</t>
  </si>
  <si>
    <t xml:space="preserve">Gioiella Sasso</t>
  </si>
  <si>
    <t xml:space="preserve">Lois Waltman</t>
  </si>
  <si>
    <t xml:space="preserve">Moshe Wesel</t>
  </si>
  <si>
    <t xml:space="preserve">Joan Mcelwee</t>
  </si>
  <si>
    <t xml:space="preserve">Ada Sanfiorenzo</t>
  </si>
  <si>
    <t xml:space="preserve">Donna Anzalone</t>
  </si>
  <si>
    <t xml:space="preserve">Unknown Nebraska</t>
  </si>
  <si>
    <t xml:space="preserve">unknown</t>
  </si>
  <si>
    <t xml:space="preserve">unknown nebraska</t>
  </si>
  <si>
    <t xml:space="preserve">Thomas Schoenwaelder</t>
  </si>
  <si>
    <t xml:space="preserve">Alexander Jacho Vilema</t>
  </si>
  <si>
    <t xml:space="preserve">Liliana Mejia</t>
  </si>
  <si>
    <t xml:space="preserve">John Arroyo</t>
  </si>
  <si>
    <t xml:space="preserve">Jonathan Millian</t>
  </si>
  <si>
    <t xml:space="preserve">John Irish</t>
  </si>
  <si>
    <t xml:space="preserve">Trudy Brown </t>
  </si>
  <si>
    <t xml:space="preserve">Emmett Grover</t>
  </si>
  <si>
    <t xml:space="preserve">water beads</t>
  </si>
  <si>
    <t xml:space="preserve">131515-81</t>
  </si>
  <si>
    <t xml:space="preserve">WCM2023-81</t>
  </si>
  <si>
    <t xml:space="preserve">Ryan Weiss</t>
  </si>
  <si>
    <t xml:space="preserve">Michael Mendoza</t>
  </si>
  <si>
    <t xml:space="preserve">Sophie Greene</t>
  </si>
  <si>
    <t xml:space="preserve">Jarrod Green</t>
  </si>
  <si>
    <t xml:space="preserve">Jacqueline Kelly-Lynch</t>
  </si>
  <si>
    <t xml:space="preserve">David Schwimmer</t>
  </si>
  <si>
    <t xml:space="preserve">Alana Drexler</t>
  </si>
  <si>
    <t xml:space="preserve">Evelyn Xiao Ziqian Buchanan</t>
  </si>
  <si>
    <t xml:space="preserve">Michael Saperstein</t>
  </si>
  <si>
    <t xml:space="preserve">no Tox consult - presented for abdominal pain, included in report because Dr. Rao was attending and has a progress note that was entered as consult</t>
  </si>
  <si>
    <t xml:space="preserve">Edger M Mcmoore</t>
  </si>
  <si>
    <t xml:space="preserve">Kristen Tabbutt</t>
  </si>
  <si>
    <t xml:space="preserve">Hailey Levine</t>
  </si>
  <si>
    <t xml:space="preserve">Sebastian Mortazavi</t>
  </si>
  <si>
    <t xml:space="preserve">Patricia Mascol</t>
  </si>
  <si>
    <t xml:space="preserve">Stella Levin-Parker</t>
  </si>
  <si>
    <t xml:space="preserve">Nick Projansky</t>
  </si>
  <si>
    <t xml:space="preserve">Renee Chevalie</t>
  </si>
  <si>
    <t xml:space="preserve">Rafael Castellanos</t>
  </si>
  <si>
    <t xml:space="preserve">Janette Aguirre</t>
  </si>
  <si>
    <t xml:space="preserve">Clark Poole</t>
  </si>
  <si>
    <t xml:space="preserve">Georgiy Atabaev</t>
  </si>
  <si>
    <t xml:space="preserve">Sabrina Mannino</t>
  </si>
  <si>
    <t xml:space="preserve">Prem Kamesh Nagarajan</t>
  </si>
  <si>
    <t xml:space="preserve">Rachel Werner</t>
  </si>
  <si>
    <t xml:space="preserve">Ellanora Davrayev</t>
  </si>
  <si>
    <t xml:space="preserve">Joseph Avelarde</t>
  </si>
  <si>
    <t xml:space="preserve">Tamara Avelarde</t>
  </si>
  <si>
    <t xml:space="preserve">Sara Smilowitz</t>
  </si>
  <si>
    <t xml:space="preserve">Terrance Johnson</t>
  </si>
  <si>
    <t xml:space="preserve">Christopher Tejada</t>
  </si>
  <si>
    <t xml:space="preserve">Khalif Harris</t>
  </si>
  <si>
    <t xml:space="preserve">Ezra Nicholas Lamour</t>
  </si>
  <si>
    <t xml:space="preserve">Victoria Huan</t>
  </si>
  <si>
    <t xml:space="preserve">Levon Barth-Holloman</t>
  </si>
  <si>
    <t xml:space="preserve">Joseph Michalowitz</t>
  </si>
  <si>
    <t xml:space="preserve">Jason Vasquez</t>
  </si>
  <si>
    <t xml:space="preserve">Anthony Marte</t>
  </si>
  <si>
    <t xml:space="preserve">Ronald Tabak</t>
  </si>
  <si>
    <t xml:space="preserve">Derick Flores</t>
  </si>
  <si>
    <t xml:space="preserve">Tarik Altaheri</t>
  </si>
  <si>
    <t xml:space="preserve">Tetyana Gann</t>
  </si>
  <si>
    <t xml:space="preserve">Alexander Furman</t>
  </si>
  <si>
    <t xml:space="preserve">Katherine Guachichullca</t>
  </si>
  <si>
    <t xml:space="preserve">Miah Massaquoi</t>
  </si>
  <si>
    <t xml:space="preserve">Elizabeth Epley</t>
  </si>
  <si>
    <t xml:space="preserve">Thomas Cook</t>
  </si>
  <si>
    <t xml:space="preserve">Tuong Cat Ho</t>
  </si>
  <si>
    <t xml:space="preserve">Jackson Adelaja</t>
  </si>
  <si>
    <t xml:space="preserve">Jerelly Arias</t>
  </si>
  <si>
    <t xml:space="preserve">Louis J Joseph</t>
  </si>
  <si>
    <t xml:space="preserve">Gabe Heller</t>
  </si>
  <si>
    <t xml:space="preserve">Madeline Dryden</t>
  </si>
  <si>
    <t xml:space="preserve">Moshe Skaf</t>
  </si>
  <si>
    <t xml:space="preserve">Eddie Sanchez</t>
  </si>
  <si>
    <t xml:space="preserve">Fayi Zheng</t>
  </si>
  <si>
    <t xml:space="preserve">Michelle Fisher</t>
  </si>
  <si>
    <t xml:space="preserve">Akoseya Roberts</t>
  </si>
  <si>
    <t xml:space="preserve">Joshua Smith</t>
  </si>
  <si>
    <t xml:space="preserve">no Tox consult - presented for SI, included in tox report because of a progress note done by Dr. Wiener</t>
  </si>
  <si>
    <t xml:space="preserve">Robert Johnson</t>
  </si>
  <si>
    <t xml:space="preserve">no Tox consult - presented for chest pain, included in tox report because of a progress note done by Dr. Wiener</t>
  </si>
  <si>
    <t xml:space="preserve">Jayden Nazario</t>
  </si>
  <si>
    <t xml:space="preserve">Antonio Matz Larocca</t>
  </si>
  <si>
    <t xml:space="preserve">Kasim Green</t>
  </si>
  <si>
    <t xml:space="preserve">Benedict Antoine</t>
  </si>
  <si>
    <t xml:space="preserve">Benjaming Camposbriceno</t>
  </si>
  <si>
    <t xml:space="preserve">Moise Cohen</t>
  </si>
  <si>
    <t xml:space="preserve">Gabriel Dubitsky</t>
  </si>
  <si>
    <t xml:space="preserve">Kiara Kennedy</t>
  </si>
  <si>
    <t xml:space="preserve">Guy Stevens</t>
  </si>
  <si>
    <t xml:space="preserve">Yuk Cheung Chao Leung</t>
  </si>
  <si>
    <t xml:space="preserve">Daniel L Alcabes</t>
  </si>
  <si>
    <t xml:space="preserve">Yanismael N Muela</t>
  </si>
  <si>
    <t xml:space="preserve">Carmen Camacho</t>
  </si>
  <si>
    <t xml:space="preserve">Ying Jun Teng</t>
  </si>
  <si>
    <t xml:space="preserve">Michael Moore</t>
  </si>
  <si>
    <t xml:space="preserve">Madison Jakubowitz</t>
  </si>
  <si>
    <t xml:space="preserve">Sonia Mohandas</t>
  </si>
  <si>
    <t xml:space="preserve">Maria Alejandra Gonzalez Paulino</t>
  </si>
  <si>
    <t xml:space="preserve">Fernanda Paulino Sanchez</t>
  </si>
  <si>
    <t xml:space="preserve">Enmibeth De La Cruz</t>
  </si>
  <si>
    <t xml:space="preserve">Kesur Sunil</t>
  </si>
  <si>
    <t xml:space="preserve">Maria Rivera</t>
  </si>
  <si>
    <t xml:space="preserve">Francesca Cueto</t>
  </si>
  <si>
    <t xml:space="preserve">Andreea Milgram</t>
  </si>
  <si>
    <t xml:space="preserve">Ali Aliyev</t>
  </si>
  <si>
    <t xml:space="preserve">Samantha Ramos</t>
  </si>
  <si>
    <t xml:space="preserve">no tox exposure - tox consulted for AMS but tox expsoure ruled out</t>
  </si>
  <si>
    <t xml:space="preserve">Salvatore Strazzullo</t>
  </si>
  <si>
    <t xml:space="preserve">Myrna Tarter</t>
  </si>
  <si>
    <t xml:space="preserve">Alexander Jimenez</t>
  </si>
  <si>
    <t xml:space="preserve">Anoushka Abdulhamid</t>
  </si>
  <si>
    <t xml:space="preserve">Eli K Romanowski</t>
  </si>
  <si>
    <t xml:space="preserve">Jane Weinstein</t>
  </si>
  <si>
    <t xml:space="preserve">Krystal Figueroa</t>
  </si>
  <si>
    <t xml:space="preserve">3/2/204</t>
  </si>
  <si>
    <t xml:space="preserve">Naquan Aiken</t>
  </si>
  <si>
    <t xml:space="preserve">Gabriel O Rivera</t>
  </si>
  <si>
    <t xml:space="preserve">Chloe Mitchell</t>
  </si>
  <si>
    <t xml:space="preserve">William Johnson</t>
  </si>
  <si>
    <t xml:space="preserve">Connie Taylor</t>
  </si>
  <si>
    <t xml:space="preserve">Frank J Ambrosio</t>
  </si>
  <si>
    <t xml:space="preserve">Andrei V Prisecaru</t>
  </si>
  <si>
    <t xml:space="preserve">Olga Krasner</t>
  </si>
  <si>
    <t xml:space="preserve">Rodolfo Jimenez</t>
  </si>
  <si>
    <t xml:space="preserve">Robert Rivera</t>
  </si>
  <si>
    <t xml:space="preserve">Lauren Cuya</t>
  </si>
  <si>
    <t xml:space="preserve">131515-100</t>
  </si>
  <si>
    <t xml:space="preserve">WCM2024-100</t>
  </si>
  <si>
    <t xml:space="preserve">Noelany Serrano</t>
  </si>
  <si>
    <t xml:space="preserve">fentanyl</t>
  </si>
  <si>
    <t xml:space="preserve">131515-99</t>
  </si>
  <si>
    <t xml:space="preserve">WCM2024-99</t>
  </si>
  <si>
    <t xml:space="preserve">Yes</t>
  </si>
  <si>
    <t xml:space="preserve">Laron Bryce Collington</t>
  </si>
  <si>
    <t xml:space="preserve">amphetamines/oxycodone/opiates/fentanyl</t>
  </si>
  <si>
    <t xml:space="preserve">131515-98</t>
  </si>
  <si>
    <t xml:space="preserve">WCM2024-98</t>
  </si>
  <si>
    <t xml:space="preserve">Adelina Barbuti Farrell</t>
  </si>
  <si>
    <t xml:space="preserve">adderall</t>
  </si>
  <si>
    <t xml:space="preserve">131515-97</t>
  </si>
  <si>
    <t xml:space="preserve">WCM2024-97</t>
  </si>
  <si>
    <t xml:space="preserve">Chavone Miller</t>
  </si>
  <si>
    <t xml:space="preserve">venlafaxine &amp; lamotrigine</t>
  </si>
  <si>
    <t xml:space="preserve">131515-96</t>
  </si>
  <si>
    <t xml:space="preserve">WCM2024-96</t>
  </si>
  <si>
    <t xml:space="preserve">Eliah Dallner</t>
  </si>
  <si>
    <t xml:space="preserve">131515-95</t>
  </si>
  <si>
    <t xml:space="preserve">WCM2024-95</t>
  </si>
  <si>
    <t xml:space="preserve">Emily Braff</t>
  </si>
  <si>
    <t xml:space="preserve">metformin</t>
  </si>
  <si>
    <t xml:space="preserve">131515-94</t>
  </si>
  <si>
    <t xml:space="preserve">WCM2024-94</t>
  </si>
  <si>
    <t xml:space="preserve">Yvonne Brown</t>
  </si>
  <si>
    <t xml:space="preserve">131515-93</t>
  </si>
  <si>
    <t xml:space="preserve">WCM2024-93</t>
  </si>
  <si>
    <t xml:space="preserve">Pt already on burn ICU when consult requested</t>
  </si>
  <si>
    <t xml:space="preserve">Imani Danae Prince</t>
  </si>
  <si>
    <t xml:space="preserve">antibiotics</t>
  </si>
  <si>
    <t xml:space="preserve">131515-92</t>
  </si>
  <si>
    <t xml:space="preserve">WCM2024-92</t>
  </si>
  <si>
    <t xml:space="preserve">Emily Hernandez</t>
  </si>
  <si>
    <t xml:space="preserve">no Tox consult - included in tox report because of a progress note done by Dr. Wiener</t>
  </si>
  <si>
    <t xml:space="preserve">Desiree Gonzalez</t>
  </si>
  <si>
    <t xml:space="preserve">no tox exposure - tox consulted for exposure to fire extinguisher powder but patient cleared</t>
  </si>
  <si>
    <t xml:space="preserve">Elise Sowlati</t>
  </si>
  <si>
    <t xml:space="preserve">foreign body</t>
  </si>
  <si>
    <t xml:space="preserve">Siyu Ren</t>
  </si>
  <si>
    <t xml:space="preserve">Morgan McDonald</t>
  </si>
  <si>
    <t xml:space="preserve">Skyia Copney</t>
  </si>
  <si>
    <t xml:space="preserve">Omari Jacobs</t>
  </si>
  <si>
    <t xml:space="preserve">Alma Shi</t>
  </si>
  <si>
    <t xml:space="preserve">Amaia Hernandez Soriano</t>
  </si>
  <si>
    <t xml:space="preserve">Jorge Polanco-Urena</t>
  </si>
  <si>
    <t xml:space="preserve">Frank H Kaufmann Jr. </t>
  </si>
  <si>
    <t xml:space="preserve">Frank H Kaufman Jr. </t>
  </si>
  <si>
    <t xml:space="preserve">Jeremy Schleifer</t>
  </si>
  <si>
    <t xml:space="preserve">Astrid Pilch</t>
  </si>
  <si>
    <t xml:space="preserve">Eunji Paula Kim</t>
  </si>
  <si>
    <t xml:space="preserve">Justin Stokes</t>
  </si>
  <si>
    <t xml:space="preserve">Sarah Orban</t>
  </si>
  <si>
    <t xml:space="preserve">Vivienne Sklaar</t>
  </si>
  <si>
    <t xml:space="preserve">Jordan Nadelson</t>
  </si>
  <si>
    <t xml:space="preserve">Melina B Winters</t>
  </si>
  <si>
    <t xml:space="preserve">Mario Orlando Pineiro</t>
  </si>
  <si>
    <t xml:space="preserve">Zeldy Babad</t>
  </si>
  <si>
    <t xml:space="preserve">131515-105</t>
  </si>
  <si>
    <t xml:space="preserve">WCM2024-105</t>
  </si>
  <si>
    <t xml:space="preserve">Lee Keyzner</t>
  </si>
  <si>
    <t xml:space="preserve">Romello Mclean</t>
  </si>
  <si>
    <t xml:space="preserve">Trevor Rouse</t>
  </si>
  <si>
    <t xml:space="preserve">providone iodine</t>
  </si>
  <si>
    <t xml:space="preserve">131515-104</t>
  </si>
  <si>
    <t xml:space="preserve">WCM2024-104</t>
  </si>
  <si>
    <t xml:space="preserve">Jessy L Klein-Fofana</t>
  </si>
  <si>
    <t xml:space="preserve">lidocaine reaction</t>
  </si>
  <si>
    <t xml:space="preserve">131515-103</t>
  </si>
  <si>
    <t xml:space="preserve">WCM2024-103</t>
  </si>
  <si>
    <t xml:space="preserve">Haywood Champion</t>
  </si>
  <si>
    <t xml:space="preserve">131515-102</t>
  </si>
  <si>
    <t xml:space="preserve">WCM2024-102</t>
  </si>
  <si>
    <t xml:space="preserve">Megan Bradley</t>
  </si>
  <si>
    <t xml:space="preserve">Andrea E Beatong</t>
  </si>
  <si>
    <t xml:space="preserve">131515-101</t>
  </si>
  <si>
    <t xml:space="preserve">WCM2024-101</t>
  </si>
  <si>
    <t xml:space="preserve">Jiang Zihan</t>
  </si>
  <si>
    <t xml:space="preserve">Lucas Spradley</t>
  </si>
  <si>
    <t xml:space="preserve">Sabrina Maybaum</t>
  </si>
  <si>
    <t xml:space="preserve">Guy I Miller Jr</t>
  </si>
  <si>
    <t xml:space="preserve">Aaron Byrd</t>
  </si>
  <si>
    <t xml:space="preserve">Mark George Hubner</t>
  </si>
  <si>
    <t xml:space="preserve">Ashley Hodge</t>
  </si>
  <si>
    <t xml:space="preserve">Robert Peana</t>
  </si>
  <si>
    <t xml:space="preserve">Evan Gonzalez</t>
  </si>
  <si>
    <t xml:space="preserve">Francesca Krol-Oak</t>
  </si>
  <si>
    <t xml:space="preserve">Hannah Yang Yi</t>
  </si>
  <si>
    <t xml:space="preserve">Luis Garcia</t>
  </si>
  <si>
    <t xml:space="preserve">Hamit Gokce</t>
  </si>
  <si>
    <t xml:space="preserve">Daniel Hon Yin Tse</t>
  </si>
  <si>
    <t xml:space="preserve">Marcelo Dapilaga Patapat</t>
  </si>
  <si>
    <t xml:space="preserve">Bryan Miller</t>
  </si>
  <si>
    <t xml:space="preserve">Charles Brintz</t>
  </si>
  <si>
    <t xml:space="preserve">Kowsar Ahmed</t>
  </si>
  <si>
    <t xml:space="preserve">Nicholas Aston</t>
  </si>
  <si>
    <t xml:space="preserve">Peter Trent</t>
  </si>
  <si>
    <t xml:space="preserve">Eduardo Araujo</t>
  </si>
  <si>
    <t xml:space="preserve">Eldaz Yardane</t>
  </si>
  <si>
    <t xml:space="preserve">Chloe J Ferrara</t>
  </si>
  <si>
    <t xml:space="preserve">Daniela Del Pilar Delgado Alvarez</t>
  </si>
  <si>
    <t xml:space="preserve">Nan Rothschild</t>
  </si>
  <si>
    <t xml:space="preserve">ToxIC ID</t>
  </si>
  <si>
    <t xml:space="preserve">Gender</t>
  </si>
  <si>
    <t xml:space="preserve">Exposure Category</t>
  </si>
  <si>
    <t xml:space="preserve">Age</t>
  </si>
  <si>
    <t xml:space="preserve">Pulse</t>
  </si>
  <si>
    <t xml:space="preserve">SBP</t>
  </si>
  <si>
    <t xml:space="preserve">GCS</t>
  </si>
  <si>
    <t xml:space="preserve">Respiratory Insufficiency</t>
  </si>
  <si>
    <t xml:space="preserve">Cirrhosis</t>
  </si>
  <si>
    <t xml:space="preserve">Dysrhythmia</t>
  </si>
  <si>
    <t xml:space="preserve">Secondary Reason for ICU Admission</t>
  </si>
  <si>
    <t xml:space="preserve">INTOXICATE SCORE</t>
  </si>
  <si>
    <t xml:space="preserve">Optimized Predicted Disposition</t>
  </si>
  <si>
    <t xml:space="preserve">Predicted Disposition</t>
  </si>
  <si>
    <t xml:space="preserve">Predicted Ignore Sinus</t>
  </si>
  <si>
    <t xml:space="preserve">Predicted Ignore Sinus &lt; 140</t>
  </si>
  <si>
    <t xml:space="preserve">Actual Disposition</t>
  </si>
  <si>
    <t xml:space="preserve">Substance of Exposure</t>
  </si>
  <si>
    <t xml:space="preserve">Longer Term Complication</t>
  </si>
  <si>
    <t xml:space="preserve">30-Day Mortality</t>
  </si>
  <si>
    <t xml:space="preserve">In Retrospect Required ICU</t>
  </si>
  <si>
    <t xml:space="preserve">Additional Disposition Notes</t>
  </si>
  <si>
    <t xml:space="preserve">Confirmed Exposure</t>
  </si>
  <si>
    <t xml:space="preserve">Primary Etiology Tox</t>
  </si>
  <si>
    <t xml:space="preserve">Categorial Values</t>
  </si>
  <si>
    <t xml:space="preserve">F</t>
  </si>
  <si>
    <t xml:space="preserve">Street Drugs</t>
  </si>
  <si>
    <t xml:space="preserve">GMF</t>
  </si>
  <si>
    <t xml:space="preserve">Discharge</t>
  </si>
  <si>
    <t xml:space="preserve">possbile adderall 10 mg</t>
  </si>
  <si>
    <t xml:space="preserve">Sinus tachycardia infaltes INTOXICATE's recommendations, drug test was cancelled due to "unable" No symptoms thus no primary etiology tox (only reason for admission was tox though)</t>
  </si>
  <si>
    <t xml:space="preserve">Unconfirmed</t>
  </si>
  <si>
    <t xml:space="preserve">Exposure Values</t>
  </si>
  <si>
    <t xml:space="preserve">Confirmed Values</t>
  </si>
  <si>
    <t xml:space="preserve">Analgesic</t>
  </si>
  <si>
    <t xml:space="preserve">NaN</t>
  </si>
  <si>
    <t xml:space="preserve">Confirmed -Yes</t>
  </si>
  <si>
    <t xml:space="preserve">Alcohol</t>
  </si>
  <si>
    <t xml:space="preserve">M</t>
  </si>
  <si>
    <t xml:space="preserve">Sedatives</t>
  </si>
  <si>
    <t xml:space="preserve">possible 10 mg THC gummy</t>
  </si>
  <si>
    <t xml:space="preserve">clinical signs of intox pediatric THC intox, Drug test cancelled ("lab auto cancel no specimen received")</t>
  </si>
  <si>
    <t xml:space="preserve">Confirmed- No</t>
  </si>
  <si>
    <t xml:space="preserve">Antidepressants</t>
  </si>
  <si>
    <t xml:space="preserve">ICU</t>
  </si>
  <si>
    <t xml:space="preserve">30mg mirtazapine</t>
  </si>
  <si>
    <t xml:space="preserve">Sinus tachycardia infaltes INTOXICATE's recommendations</t>
  </si>
  <si>
    <t xml:space="preserve">CO, As, CN</t>
  </si>
  <si>
    <t xml:space="preserve">CO</t>
  </si>
  <si>
    <t xml:space="preserve">N/A - Withdrawal</t>
  </si>
  <si>
    <t xml:space="preserve">225 mg zoloft</t>
  </si>
  <si>
    <t xml:space="preserve">Unknown </t>
  </si>
  <si>
    <t xml:space="preserve">took various pills from a cabinet with multiple medications</t>
  </si>
  <si>
    <t xml:space="preserve">EKG with sinius tachycardia</t>
  </si>
  <si>
    <t xml:space="preserve">Percocet</t>
  </si>
  <si>
    <t xml:space="preserve">Combination</t>
  </si>
  <si>
    <t xml:space="preserve">Transfer to psych, no specimen for drug test received</t>
  </si>
  <si>
    <t xml:space="preserve">inahled powdered glue from sticker collection; tox also + for oxycodone &amp; opiates</t>
  </si>
  <si>
    <t xml:space="preserve">Transfer to psych</t>
  </si>
  <si>
    <t xml:space="preserve">NB</t>
  </si>
  <si>
    <t xml:space="preserve">zoloft</t>
  </si>
  <si>
    <t xml:space="preserve">ingestion of two home cleaning solutions (Shout &amp; Cascade) </t>
  </si>
  <si>
    <t xml:space="preserve">analgesic (dominant ingestion) - 2,000mg of tylenol, 2200mg of ibuprofen, 1mg risperdol, 10mg of zyrtec and 1 cup of wine</t>
  </si>
  <si>
    <t xml:space="preserve">ibuprofen</t>
  </si>
  <si>
    <t xml:space="preserve">Actual</t>
  </si>
  <si>
    <t xml:space="preserve">ALL</t>
  </si>
  <si>
    <t xml:space="preserve">PEDS</t>
  </si>
  <si>
    <t xml:space="preserve">ADULT</t>
  </si>
  <si>
    <t xml:space="preserve">THC Gummy</t>
  </si>
  <si>
    <t xml:space="preserve">2mg xanax, "snorted few lines of ketamine and oxycodone", 2 small crystals of molly</t>
  </si>
  <si>
    <t xml:space="preserve">ethanol and unknown pill from stranger</t>
  </si>
  <si>
    <t xml:space="preserve">6 CBD (200mg total) gummies</t>
  </si>
  <si>
    <t xml:space="preserve">Total</t>
  </si>
  <si>
    <t xml:space="preserve">clomipramine</t>
  </si>
  <si>
    <t xml:space="preserve">Prozac</t>
  </si>
  <si>
    <t xml:space="preserve">wild mushroom ingestion</t>
  </si>
  <si>
    <t xml:space="preserve">Agreement</t>
  </si>
  <si>
    <t xml:space="preserve">MD</t>
  </si>
  <si>
    <t xml:space="preserve">Policy</t>
  </si>
  <si>
    <t xml:space="preserve">CO poisoning</t>
  </si>
  <si>
    <t xml:space="preserve">yes</t>
  </si>
  <si>
    <t xml:space="preserve">Not</t>
  </si>
  <si>
    <t xml:space="preserve">Original threshold</t>
  </si>
  <si>
    <t xml:space="preserve">Algo</t>
  </si>
  <si>
    <t xml:space="preserve">SUM</t>
  </si>
  <si>
    <t xml:space="preserve">Kappa</t>
  </si>
  <si>
    <t xml:space="preserve">60 tablets of 220mg ibuprofen</t>
  </si>
  <si>
    <t xml:space="preserve">Adults</t>
  </si>
  <si>
    <t xml:space="preserve">Peds</t>
  </si>
  <si>
    <t xml:space="preserve">klonopin and benadryl</t>
  </si>
  <si>
    <t xml:space="preserve">5000mg advil within 6 hours</t>
  </si>
  <si>
    <t xml:space="preserve">ROC Optimized Threshold</t>
  </si>
  <si>
    <t xml:space="preserve">Early pregnancy injested unknown antibiotic and induced self vomiting</t>
  </si>
  <si>
    <t xml:space="preserve">Transfer to psych </t>
  </si>
  <si>
    <t xml:space="preserve">Ethanol</t>
  </si>
  <si>
    <t xml:space="preserve">chloramine gas</t>
  </si>
  <si>
    <t xml:space="preserve">several bottles of alcohol, whole bottle of 10mg Melatonin, 20 tablets 500mg ibuprofen</t>
  </si>
  <si>
    <t xml:space="preserve">Tox consult canceled</t>
  </si>
  <si>
    <t xml:space="preserve">Inappropriate Downgrades</t>
  </si>
  <si>
    <t xml:space="preserve">600mg codeine, 1,000mg tramadol, 50mg ativan, 100mg valium, 10mg xanax</t>
  </si>
  <si>
    <t xml:space="preserve">No actual ingestion, psych facility wanted clearance</t>
  </si>
  <si>
    <t xml:space="preserve">With IRS 6</t>
  </si>
  <si>
    <t xml:space="preserve">Y</t>
  </si>
  <si>
    <t xml:space="preserve">N</t>
  </si>
  <si>
    <t xml:space="preserve">antidepressant (dominant ingestion) 25 pill of 100mg zoloft + ethanol </t>
  </si>
  <si>
    <t xml:space="preserve">With IRS 17</t>
  </si>
  <si>
    <t xml:space="preserve">5 alcoholic beverages, marijuana, 3-4 100mg hydroxyzine pill</t>
  </si>
  <si>
    <t xml:space="preserve">Needed ICU</t>
  </si>
  <si>
    <t xml:space="preserve">AMA</t>
  </si>
  <si>
    <t xml:space="preserve">12 400mg gabapentins, 12 50mg trazodones, and ethanol </t>
  </si>
  <si>
    <t xml:space="preserve"> ~30 tablets of 500mg metformin</t>
  </si>
  <si>
    <t xml:space="preserve">ethanol, oxycodone</t>
  </si>
  <si>
    <t xml:space="preserve">24 pills of corcidin</t>
  </si>
  <si>
    <t xml:space="preserve">Tachycardia vs INTOXICATE</t>
  </si>
  <si>
    <t xml:space="preserve">polysubstance OD - bendadryl, dextromethorphan, chlorpheniramine</t>
  </si>
  <si>
    <t xml:space="preserve">CO; smoke inhalation</t>
  </si>
  <si>
    <t xml:space="preserve">Elevated lithium levels</t>
  </si>
  <si>
    <t xml:space="preserve">Had seizure immediately after discharge</t>
  </si>
  <si>
    <t xml:space="preserve"> 4 tabs venlafaxine 150mg and 4 tabs lamictal 100mg and tequilla alcohol</t>
  </si>
  <si>
    <t xml:space="preserve">cocaine; xanax</t>
  </si>
  <si>
    <t xml:space="preserve">Methamphetamine</t>
  </si>
  <si>
    <t xml:space="preserve">bupropion</t>
  </si>
  <si>
    <t xml:space="preserve">alcohol and cocaine + 8 tablets 75mg venlafaxine, and 9 tablets 1mg klonopin approx 12 hours PTA</t>
  </si>
  <si>
    <t xml:space="preserve">Cleaning product - detergent</t>
  </si>
  <si>
    <t xml:space="preserve">Caustic ingestion; discharged after observation</t>
  </si>
  <si>
    <t xml:space="preserve">lithium toxicity</t>
  </si>
  <si>
    <t xml:space="preserve">carbon monoxide </t>
  </si>
  <si>
    <t xml:space="preserve">Clonazepam</t>
  </si>
  <si>
    <t xml:space="preserve">Transferred from LMH ED to WC ED and then discharged</t>
  </si>
  <si>
    <t xml:space="preserve">Transfer to psych after 8 day GMF stay</t>
  </si>
  <si>
    <t xml:space="preserve">alcohol</t>
  </si>
  <si>
    <t xml:space="preserve">10 tylenol; 4 benadryl; ecstasy</t>
  </si>
  <si>
    <t xml:space="preserve">Fentanyl, xylazine</t>
  </si>
  <si>
    <t xml:space="preserve">Sinus tachycardia infaltes INTOXICATE's recommendations; hx IVDU of fentanyl and xylazine, last used day of ED presentation, admitted for bacteremia</t>
  </si>
  <si>
    <t xml:space="preserve">drank approx 1 cup hydrogen peroxide in SA, endorsed smoking meth</t>
  </si>
  <si>
    <t xml:space="preserve">Caustic ingestion; tox screen and EGD done</t>
  </si>
  <si>
    <t xml:space="preserve">Essential/infusing oil</t>
  </si>
  <si>
    <t xml:space="preserve">Hx of EtOH use disorder, has been ingesting substances containing alcohol due to partner removing alcohol from household, ingested essential oils</t>
  </si>
  <si>
    <t xml:space="preserve">Lithium</t>
  </si>
  <si>
    <t xml:space="preserve">Should stage cirrhosis, like sinus tachycardia, it is a vague term</t>
  </si>
  <si>
    <t xml:space="preserve">ethanol, multiple pills of home meds: dronabinol 5mg, tramadol 50mg, cogentin 2mg, depakote 500mg, flavoxate 100mg, latuda 40mg, quetiapine ER 50mg, venlafaxine ER 150mg</t>
  </si>
  <si>
    <r>
      <rPr>
        <sz val="11"/>
        <color rgb="FF000000"/>
        <rFont val="Calibri"/>
        <family val="2"/>
        <charset val="1"/>
      </rPr>
      <t xml:space="preserve">Was medically cleared by poison control. Kept endorsing SI, so admitted to psych. ICU consutled later during her stay. </t>
    </r>
    <r>
      <rPr>
        <sz val="11"/>
        <color rgb="FFFF0000"/>
        <rFont val="Calibri"/>
        <family val="2"/>
        <charset val="1"/>
      </rPr>
      <t xml:space="preserve">Subtherapeutic levels on tests.</t>
    </r>
  </si>
  <si>
    <r>
      <rPr>
        <sz val="11"/>
        <color rgb="FF000000"/>
        <rFont val="Calibri"/>
        <family val="2"/>
        <charset val="1"/>
      </rPr>
      <t xml:space="preserve">Unclear Li intake; elevated Li level with acute SOB; hx of PSA use; utox +benzo and cannabinoid; </t>
    </r>
    <r>
      <rPr>
        <sz val="11"/>
        <color rgb="FFFF0000"/>
        <rFont val="Calibri"/>
        <family val="2"/>
        <charset val="1"/>
      </rPr>
      <t xml:space="preserve">can't find predicted disposition</t>
    </r>
  </si>
  <si>
    <t xml:space="preserve">Required ICU for not tox reasons </t>
  </si>
  <si>
    <t xml:space="preserve">No age adjustment for vital signs</t>
  </si>
  <si>
    <t xml:space="preserve">30 pills of olanzapine</t>
  </si>
  <si>
    <t xml:space="preserve">Transferred to WCM from OSH</t>
  </si>
  <si>
    <t xml:space="preserve">opioid overdose - oxycodone DAU +fentanyl</t>
  </si>
  <si>
    <r>
      <rPr>
        <sz val="11"/>
        <color rgb="FF000000"/>
        <rFont val="Calibri"/>
        <family val="2"/>
        <charset val="1"/>
      </rPr>
      <t xml:space="preserve">Admitted for aspiration PNA, not tox </t>
    </r>
    <r>
      <rPr>
        <sz val="11"/>
        <color rgb="FFC00000"/>
        <rFont val="Calibri"/>
        <family val="2"/>
        <charset val="1"/>
      </rPr>
      <t xml:space="preserve">(Admit to PICU for resp acidosis 2/2 OD w/ course c/b aspiration PNA)</t>
    </r>
  </si>
  <si>
    <t xml:space="preserve">ethanol</t>
  </si>
  <si>
    <t xml:space="preserve">ETOH Withdrawal</t>
  </si>
  <si>
    <t xml:space="preserve">tylenol</t>
  </si>
  <si>
    <t xml:space="preserve">deceased</t>
  </si>
  <si>
    <t xml:space="preserve">smoked unknown substance + EtOH</t>
  </si>
  <si>
    <t xml:space="preserve">Seizure</t>
  </si>
  <si>
    <t xml:space="preserve">illicit xanax and adderall found near patient; drug screen +fentanyl</t>
  </si>
  <si>
    <t xml:space="preserve">30 depakote pills</t>
  </si>
  <si>
    <t xml:space="preserve">Transferred out of ICU to GMF after 2 days</t>
  </si>
  <si>
    <t xml:space="preserve">Tylenol (dominant ingestion - 40 pills) and alcohol </t>
  </si>
  <si>
    <t xml:space="preserve">Was for etoh withdrawal, not intoxication</t>
  </si>
  <si>
    <t xml:space="preserve">patient endorses "dope and crack"; DAU + for cocaine and opiates</t>
  </si>
  <si>
    <t xml:space="preserve">Tox was consulted for weaning sedatioin</t>
  </si>
  <si>
    <t xml:space="preserve">Found with empty bottles of klonopin, iron, and prozac</t>
  </si>
  <si>
    <t xml:space="preserve">APAP with double peak</t>
  </si>
  <si>
    <t xml:space="preserve">xanax, ethanol, lamictal, prozac </t>
  </si>
  <si>
    <t xml:space="preserve">Airway Risk, too sedated to eat</t>
  </si>
  <si>
    <t xml:space="preserve">home medications - 25mg HCTZ; 25mg atenolol; 5mg amlodipine - 75 pills Sunday, 50 pills Monday, 30 pills Tuesday before going to hospital</t>
  </si>
  <si>
    <t xml:space="preserve">intubated on day 2; deceased</t>
  </si>
  <si>
    <t xml:space="preserve">found with hydrocodone/acetaminophen, gabapentin, Ativan bottles nearby</t>
  </si>
  <si>
    <t xml:space="preserve">Was in ICU for hypotension and AMS of unclear etiology</t>
  </si>
  <si>
    <t xml:space="preserve">Tox Etiology</t>
  </si>
  <si>
    <t xml:space="preserve">N/A - WIthdrawal</t>
  </si>
  <si>
    <t xml:space="preserve">Fraction Complete</t>
  </si>
  <si>
    <t xml:space="preserve">Exclusions</t>
  </si>
  <si>
    <t xml:space="preserve">Yes </t>
  </si>
  <si>
    <t xml:space="preserve">Under 12</t>
  </si>
  <si>
    <t xml:space="preserve">Exposed</t>
  </si>
  <si>
    <t xml:space="preserve">Incl in Analysis</t>
  </si>
  <si>
    <t xml:space="preserve">Withdrawal</t>
  </si>
  <si>
    <t xml:space="preserve">Maybe</t>
  </si>
  <si>
    <t xml:space="preserve">Disposition</t>
  </si>
  <si>
    <t xml:space="preserve">Frac</t>
  </si>
  <si>
    <t xml:space="preserve">Adult</t>
  </si>
  <si>
    <t xml:space="preserve">Higher Threshold</t>
  </si>
  <si>
    <t xml:space="preserve">Overall</t>
  </si>
  <si>
    <t xml:space="preserve">INTOXICATE</t>
  </si>
  <si>
    <t xml:space="preserve">2ary Reasons</t>
  </si>
  <si>
    <t xml:space="preserve">Resp</t>
  </si>
  <si>
    <t xml:space="preserve">Other</t>
  </si>
  <si>
    <t xml:space="preserve">Tox</t>
  </si>
  <si>
    <t xml:space="preserve">Exposure Categories</t>
  </si>
  <si>
    <t xml:space="preserve">Safe  Downgrades</t>
  </si>
  <si>
    <t xml:space="preserve">Azamat Kutlukov</t>
  </si>
  <si>
    <t xml:space="preserve">Dr. Rao
"progress note"
Inpatient consult to toxicology CON67 in referrals but "order status" says canceled</t>
  </si>
  <si>
    <t xml:space="preserve">Aurelian Asad</t>
  </si>
  <si>
    <t xml:space="preserve">Brianna Olamiju</t>
  </si>
  <si>
    <t xml:space="preserve">Sharlyn Singh</t>
  </si>
  <si>
    <t xml:space="preserve">Dr. Rao
"consult"
Inpatient consult to toxicology CON67 in referrals
Completed consult to toxicology in Orders</t>
  </si>
  <si>
    <t xml:space="preserve">Alexander Gottdiener</t>
  </si>
  <si>
    <t xml:space="preserve">Constance Desena</t>
  </si>
  <si>
    <t xml:space="preserve">Vicki Stafford</t>
  </si>
  <si>
    <t xml:space="preserve">Kupferstein Nusy</t>
  </si>
  <si>
    <t xml:space="preserve">Emilia Saysette</t>
  </si>
  <si>
    <t xml:space="preserve">Barbara P Parker</t>
  </si>
  <si>
    <t xml:space="preserve">Samantha Philips</t>
  </si>
  <si>
    <t xml:space="preserve">Gemma Stanger</t>
  </si>
  <si>
    <t xml:space="preserve">Archea Hyacinthe</t>
  </si>
  <si>
    <t xml:space="preserve">(note this is a different MRN than Smartsheet, the one listed there does not pull up any patient records)</t>
  </si>
  <si>
    <t xml:space="preserve">Jeffrey Slater</t>
  </si>
  <si>
    <t xml:space="preserve">Solmaria Hernandez</t>
  </si>
  <si>
    <t xml:space="preserve">Narine Budram</t>
  </si>
  <si>
    <t xml:space="preserve">Matthew Heras Galaby</t>
  </si>
  <si>
    <t xml:space="preserve">Kasey Chatterji</t>
  </si>
  <si>
    <t xml:space="preserve">Narda Mendez</t>
  </si>
  <si>
    <t xml:space="preserve">Dr. Rao
"consult"
Inpatient consult to toxicology CON67 in referrals but "order status" says canceled</t>
  </si>
  <si>
    <t xml:space="preserve">Anthony Locascio</t>
  </si>
  <si>
    <t xml:space="preserve">Jonathan Zahavi</t>
  </si>
  <si>
    <t xml:space="preserve">Georgevich Bogdan</t>
  </si>
  <si>
    <t xml:space="preserve">Scarlett Beckman</t>
  </si>
  <si>
    <t xml:space="preserve">Seanna Elliott</t>
  </si>
  <si>
    <t xml:space="preserve">Dr. Rao
"progress note"
No referral or consult orders in chart
under encounters this is listed as a standalone "E-Consult" </t>
  </si>
  <si>
    <t xml:space="preserve">Yisroel Armel</t>
  </si>
  <si>
    <t xml:space="preserve">no tox note however there is a referral with a canceled order status</t>
  </si>
  <si>
    <t xml:space="preserve">Ana Santiago</t>
  </si>
  <si>
    <t xml:space="preserve">no tox note or referral for this patient - Dr. Rao was the incoming attending for the patient</t>
  </si>
  <si>
    <t xml:space="preserve">Kaden V Salley</t>
  </si>
  <si>
    <t xml:space="preserve">Catherine Chin</t>
  </si>
  <si>
    <t xml:space="preserve">Osyrus Gonzalez</t>
  </si>
  <si>
    <t xml:space="preserve">Marquetta Barnes</t>
  </si>
  <si>
    <t xml:space="preserve">Steven Hill</t>
  </si>
  <si>
    <t xml:space="preserve">Maria Nikolakopoulos</t>
  </si>
  <si>
    <t xml:space="preserve">Delgado Reinaldo</t>
  </si>
  <si>
    <t xml:space="preserve">Michael Maingault Jr</t>
  </si>
  <si>
    <t xml:space="preserve">Angel Quevedo</t>
  </si>
  <si>
    <t xml:space="preserve">no tox note for this case
Inpatient consult to toxicology CON67 in referrals but "order status" says canceled</t>
  </si>
  <si>
    <t xml:space="preserve">Grace Manning</t>
  </si>
  <si>
    <t xml:space="preserve">Veronica Demille</t>
  </si>
  <si>
    <t xml:space="preserve">Andrew Sirni</t>
  </si>
  <si>
    <t xml:space="preserve">Dr. Rao
"progress note" 
Inpatient consult to toxicology CON67 in referrals but "order status" says canceled</t>
  </si>
  <si>
    <t xml:space="preserve">Melinda Berger</t>
  </si>
  <si>
    <t xml:space="preserve">Kendall Gonzalez</t>
  </si>
  <si>
    <t xml:space="preserve">Dr. Rao
"Consult"
Inpatient consult to toxicology CON67 in referrals but "order status" says canceled</t>
  </si>
</sst>
</file>

<file path=xl/styles.xml><?xml version="1.0" encoding="utf-8"?>
<styleSheet xmlns="http://schemas.openxmlformats.org/spreadsheetml/2006/main">
  <numFmts count="3">
    <numFmt numFmtId="164" formatCode="General"/>
    <numFmt numFmtId="165" formatCode="m/d/yyyy"/>
    <numFmt numFmtId="166" formatCode="0%"/>
  </numFmts>
  <fonts count="20">
    <font>
      <sz val="11"/>
      <color theme="1"/>
      <name val="Calibri"/>
      <family val="2"/>
      <charset val="1"/>
    </font>
    <font>
      <sz val="10"/>
      <name val="Arial"/>
      <family val="0"/>
    </font>
    <font>
      <sz val="10"/>
      <name val="Arial"/>
      <family val="0"/>
    </font>
    <font>
      <sz val="10"/>
      <name val="Arial"/>
      <family val="0"/>
    </font>
    <font>
      <sz val="11"/>
      <color theme="1"/>
      <name val="Courier New"/>
      <family val="1"/>
      <charset val="1"/>
    </font>
    <font>
      <b val="true"/>
      <sz val="11"/>
      <color rgb="FF000000"/>
      <name val="Courier New"/>
      <family val="1"/>
      <charset val="1"/>
    </font>
    <font>
      <b val="true"/>
      <sz val="11"/>
      <color theme="1"/>
      <name val="Courier New"/>
      <family val="1"/>
      <charset val="1"/>
    </font>
    <font>
      <b val="true"/>
      <sz val="11"/>
      <color rgb="FFFF0000"/>
      <name val="Courier New"/>
      <family val="1"/>
      <charset val="1"/>
    </font>
    <font>
      <sz val="11"/>
      <color rgb="FF000000"/>
      <name val="Courier New"/>
      <family val="1"/>
      <charset val="1"/>
    </font>
    <font>
      <sz val="9"/>
      <color theme="1"/>
      <name val="Courier New"/>
      <family val="1"/>
      <charset val="1"/>
    </font>
    <font>
      <sz val="9"/>
      <color rgb="FFFF0000"/>
      <name val="Courier New"/>
      <family val="1"/>
      <charset val="1"/>
    </font>
    <font>
      <sz val="11"/>
      <color rgb="FFFF0000"/>
      <name val="Courier New"/>
      <family val="1"/>
      <charset val="1"/>
    </font>
    <font>
      <sz val="10"/>
      <color theme="1"/>
      <name val="Courier New"/>
      <family val="1"/>
      <charset val="1"/>
    </font>
    <font>
      <b val="true"/>
      <sz val="11"/>
      <color rgb="FF000000"/>
      <name val="Calibri"/>
      <family val="2"/>
      <charset val="1"/>
    </font>
    <font>
      <sz val="11"/>
      <color rgb="FF000000"/>
      <name val="Calibri"/>
      <family val="2"/>
      <charset val="1"/>
    </font>
    <font>
      <sz val="12"/>
      <color rgb="FF000000"/>
      <name val="Calibri"/>
      <family val="2"/>
      <charset val="1"/>
    </font>
    <font>
      <sz val="11"/>
      <color rgb="FFFF0000"/>
      <name val="Calibri"/>
      <family val="2"/>
      <charset val="1"/>
    </font>
    <font>
      <sz val="11"/>
      <color rgb="FFC00000"/>
      <name val="Calibri"/>
      <family val="2"/>
      <charset val="1"/>
    </font>
    <font>
      <sz val="10"/>
      <name val="Arial"/>
      <family val="2"/>
    </font>
    <font>
      <b val="true"/>
      <sz val="11"/>
      <color theme="1"/>
      <name val="Calibri"/>
      <family val="2"/>
      <charset val="1"/>
    </font>
  </fonts>
  <fills count="7">
    <fill>
      <patternFill patternType="none"/>
    </fill>
    <fill>
      <patternFill patternType="gray125"/>
    </fill>
    <fill>
      <patternFill patternType="solid">
        <fgColor theme="0"/>
        <bgColor rgb="FFFFFFCC"/>
      </patternFill>
    </fill>
    <fill>
      <patternFill patternType="solid">
        <fgColor rgb="FFFFFF00"/>
        <bgColor rgb="FFFFFF00"/>
      </patternFill>
    </fill>
    <fill>
      <patternFill patternType="solid">
        <fgColor theme="8" tint="0.3999"/>
        <bgColor rgb="FFB4C7E7"/>
      </patternFill>
    </fill>
    <fill>
      <patternFill patternType="solid">
        <fgColor theme="5" tint="-0.25"/>
        <bgColor rgb="FF993300"/>
      </patternFill>
    </fill>
    <fill>
      <patternFill patternType="solid">
        <fgColor rgb="FFFF9494"/>
        <bgColor rgb="FFFF99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5" fontId="4"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true" indent="0" shrinkToFit="false"/>
      <protection locked="true" hidden="false"/>
    </xf>
    <xf numFmtId="164" fontId="10" fillId="0" borderId="0" xfId="0" applyFont="true" applyBorder="fals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12" fillId="0" borderId="0" xfId="0" applyFont="true" applyBorder="true" applyAlignment="true" applyProtection="false">
      <alignment horizontal="center" vertical="bottom" textRotation="0" wrapText="tru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true" indent="0" shrinkToFit="false"/>
      <protection locked="true" hidden="false"/>
    </xf>
    <xf numFmtId="164" fontId="12" fillId="0" borderId="0" xfId="0" applyFont="true" applyBorder="false" applyAlignment="true" applyProtection="false">
      <alignment horizontal="left" vertical="bottom" textRotation="0" wrapText="tru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tru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0" fillId="4" borderId="0" xfId="0" applyFont="true" applyBorder="false" applyAlignment="true" applyProtection="false">
      <alignment horizontal="general" vertical="bottom" textRotation="0" wrapText="true" indent="0" shrinkToFit="false"/>
      <protection locked="true" hidden="false"/>
    </xf>
    <xf numFmtId="164" fontId="14" fillId="4"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4"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general" vertical="bottom" textRotation="0" wrapText="true" indent="0" shrinkToFit="false"/>
      <protection locked="true" hidden="false"/>
    </xf>
    <xf numFmtId="164" fontId="14" fillId="6" borderId="0" xfId="0" applyFont="true" applyBorder="false" applyAlignment="true" applyProtection="false">
      <alignment horizontal="general" vertical="bottom"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16" fillId="0" borderId="0" xfId="0" applyFont="true" applyBorder="false" applyAlignment="true" applyProtection="false">
      <alignment horizontal="left"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color rgb="FF203864"/>
      </font>
      <fill>
        <patternFill>
          <bgColor theme="4" tint="0.5999"/>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4C7E7"/>
      <rgbColor rgb="FF808080"/>
      <rgbColor rgb="FF9999FF"/>
      <rgbColor rgb="FF993366"/>
      <rgbColor rgb="FFFFFFCC"/>
      <rgbColor rgb="FFCCFFFF"/>
      <rgbColor rgb="FF660066"/>
      <rgbColor rgb="FFFF9494"/>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FF9900"/>
      <rgbColor rgb="FFC55A11"/>
      <rgbColor rgb="FF666699"/>
      <rgbColor rgb="FF969696"/>
      <rgbColor rgb="FF20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Table3" displayName="Table3" ref="AA2:AB10" headerRowCount="1" totalsRowCount="0" totalsRowShown="0">
  <autoFilter ref="AA2:AB10"/>
  <tableColumns count="2">
    <tableColumn id="1" name="Exposure Values"/>
    <tableColumn id="2" name="Confirmed Values"/>
  </tableColumns>
</table>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 Id="rId3"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5" activePane="bottomLeft" state="frozen"/>
      <selection pane="topLeft" activeCell="A1" activeCellId="0" sqref="A1"/>
      <selection pane="bottomLeft" activeCell="G25" activeCellId="0" sqref="G25"/>
    </sheetView>
  </sheetViews>
  <sheetFormatPr defaultColWidth="9.1640625" defaultRowHeight="15" customHeight="true" zeroHeight="false" outlineLevelRow="0" outlineLevelCol="0"/>
  <cols>
    <col collapsed="false" customWidth="true" hidden="false" outlineLevel="0" max="1" min="1" style="1" width="30.33"/>
    <col collapsed="false" customWidth="true" hidden="false" outlineLevel="0" max="2" min="2" style="1" width="14.33"/>
    <col collapsed="false" customWidth="true" hidden="false" outlineLevel="0" max="3" min="3" style="1" width="23.5"/>
    <col collapsed="false" customWidth="true" hidden="false" outlineLevel="0" max="4" min="4" style="1" width="14.33"/>
    <col collapsed="false" customWidth="true" hidden="false" outlineLevel="0" max="5" min="5" style="1" width="18.34"/>
    <col collapsed="false" customWidth="true" hidden="false" outlineLevel="0" max="6" min="6" style="2" width="25.51"/>
    <col collapsed="false" customWidth="true" hidden="false" outlineLevel="0" max="7" min="7" style="3" width="14.33"/>
    <col collapsed="false" customWidth="true" hidden="false" outlineLevel="0" max="8" min="8" style="3" width="18.34"/>
    <col collapsed="false" customWidth="true" hidden="false" outlineLevel="0" max="9" min="9" style="3" width="14"/>
    <col collapsed="false" customWidth="true" hidden="false" outlineLevel="0" max="10" min="10" style="4" width="11.83"/>
    <col collapsed="false" customWidth="false" hidden="false" outlineLevel="0" max="11" min="11" style="1" width="9.16"/>
    <col collapsed="false" customWidth="true" hidden="false" outlineLevel="0" max="12" min="12" style="1" width="57.83"/>
    <col collapsed="false" customWidth="false" hidden="false" outlineLevel="0" max="13" min="13" style="3" width="9.16"/>
    <col collapsed="false" customWidth="true" hidden="false" outlineLevel="0" max="14" min="14" style="3" width="23.5"/>
    <col collapsed="false" customWidth="true" hidden="false" outlineLevel="0" max="15" min="15" style="3" width="64"/>
    <col collapsed="false" customWidth="false" hidden="false" outlineLevel="0" max="16384" min="16" style="3" width="9.16"/>
  </cols>
  <sheetData>
    <row r="1" s="7" customFormat="true" ht="15" hidden="false" customHeight="false" outlineLevel="0" collapsed="false">
      <c r="A1" s="5" t="s">
        <v>0</v>
      </c>
      <c r="B1" s="5" t="s">
        <v>1</v>
      </c>
      <c r="C1" s="5" t="s">
        <v>2</v>
      </c>
      <c r="D1" s="5" t="s">
        <v>3</v>
      </c>
      <c r="E1" s="5" t="s">
        <v>4</v>
      </c>
      <c r="F1" s="6" t="s">
        <v>5</v>
      </c>
      <c r="G1" s="7" t="s">
        <v>6</v>
      </c>
      <c r="H1" s="7" t="s">
        <v>7</v>
      </c>
      <c r="I1" s="8" t="s">
        <v>8</v>
      </c>
      <c r="J1" s="4" t="s">
        <v>9</v>
      </c>
      <c r="K1" s="5" t="s">
        <v>10</v>
      </c>
      <c r="L1" s="9" t="s">
        <v>11</v>
      </c>
      <c r="M1" s="7" t="s">
        <v>12</v>
      </c>
      <c r="N1" s="7" t="s">
        <v>13</v>
      </c>
    </row>
    <row r="2" s="1" customFormat="true" ht="15" hidden="false" customHeight="false" outlineLevel="0" collapsed="false">
      <c r="A2" s="1" t="s">
        <v>14</v>
      </c>
      <c r="B2" s="10" t="n">
        <v>44954</v>
      </c>
      <c r="C2" s="1" t="s">
        <v>15</v>
      </c>
      <c r="D2" s="10" t="n">
        <v>35068</v>
      </c>
      <c r="E2" s="1" t="n">
        <v>1401090590</v>
      </c>
      <c r="F2" s="2" t="s">
        <v>16</v>
      </c>
      <c r="G2" s="3" t="s">
        <v>17</v>
      </c>
      <c r="H2" s="3" t="s">
        <v>18</v>
      </c>
      <c r="I2" s="3" t="s">
        <v>19</v>
      </c>
      <c r="J2" s="4"/>
      <c r="K2" s="1" t="s">
        <v>20</v>
      </c>
    </row>
    <row r="3" s="1" customFormat="true" ht="15" hidden="false" customHeight="false" outlineLevel="0" collapsed="false">
      <c r="A3" s="1" t="s">
        <v>14</v>
      </c>
      <c r="B3" s="10" t="n">
        <v>44958</v>
      </c>
      <c r="C3" s="1" t="s">
        <v>21</v>
      </c>
      <c r="D3" s="10" t="n">
        <v>32649</v>
      </c>
      <c r="E3" s="1" t="n">
        <v>1001720769</v>
      </c>
      <c r="F3" s="2" t="s">
        <v>16</v>
      </c>
      <c r="G3" s="3" t="s">
        <v>22</v>
      </c>
      <c r="H3" s="3" t="s">
        <v>23</v>
      </c>
      <c r="I3" s="3" t="s">
        <v>24</v>
      </c>
      <c r="J3" s="4"/>
      <c r="K3" s="1" t="s">
        <v>20</v>
      </c>
    </row>
    <row r="4" s="1" customFormat="true" ht="15" hidden="false" customHeight="false" outlineLevel="0" collapsed="false">
      <c r="B4" s="10" t="n">
        <v>44958</v>
      </c>
      <c r="C4" s="1" t="s">
        <v>25</v>
      </c>
      <c r="D4" s="10" t="n">
        <v>41278</v>
      </c>
      <c r="E4" s="1" t="n">
        <v>1011053895</v>
      </c>
      <c r="F4" s="2" t="s">
        <v>26</v>
      </c>
      <c r="G4" s="3" t="s">
        <v>27</v>
      </c>
      <c r="H4" s="3" t="s">
        <v>28</v>
      </c>
      <c r="I4" s="3" t="s">
        <v>29</v>
      </c>
      <c r="J4" s="4"/>
      <c r="K4" s="1" t="s">
        <v>20</v>
      </c>
    </row>
    <row r="5" s="1" customFormat="true" ht="15" hidden="false" customHeight="false" outlineLevel="0" collapsed="false">
      <c r="A5" s="1" t="s">
        <v>14</v>
      </c>
      <c r="B5" s="10" t="n">
        <v>44959</v>
      </c>
      <c r="C5" s="1" t="s">
        <v>30</v>
      </c>
      <c r="D5" s="10" t="n">
        <v>38504</v>
      </c>
      <c r="E5" s="1" t="n">
        <v>1401096023</v>
      </c>
      <c r="F5" s="2" t="s">
        <v>16</v>
      </c>
      <c r="G5" s="3" t="s">
        <v>31</v>
      </c>
      <c r="H5" s="3" t="s">
        <v>32</v>
      </c>
      <c r="I5" s="3" t="s">
        <v>33</v>
      </c>
      <c r="J5" s="4"/>
      <c r="K5" s="1" t="s">
        <v>20</v>
      </c>
    </row>
    <row r="6" s="1" customFormat="true" ht="15" hidden="false" customHeight="false" outlineLevel="0" collapsed="false">
      <c r="A6" s="1" t="s">
        <v>14</v>
      </c>
      <c r="B6" s="10" t="n">
        <v>44962</v>
      </c>
      <c r="C6" s="1" t="s">
        <v>34</v>
      </c>
      <c r="D6" s="10" t="n">
        <v>31656</v>
      </c>
      <c r="E6" s="1" t="n">
        <v>1006629455</v>
      </c>
      <c r="F6" s="2" t="s">
        <v>35</v>
      </c>
      <c r="G6" s="3" t="s">
        <v>36</v>
      </c>
      <c r="H6" s="3" t="s">
        <v>37</v>
      </c>
      <c r="I6" s="3" t="s">
        <v>38</v>
      </c>
      <c r="J6" s="4"/>
      <c r="K6" s="1" t="s">
        <v>20</v>
      </c>
      <c r="L6" s="1" t="s">
        <v>39</v>
      </c>
    </row>
    <row r="7" s="1" customFormat="true" ht="15" hidden="false" customHeight="false" outlineLevel="0" collapsed="false">
      <c r="A7" s="1" t="s">
        <v>14</v>
      </c>
      <c r="B7" s="10" t="n">
        <v>44962</v>
      </c>
      <c r="C7" s="1" t="s">
        <v>40</v>
      </c>
      <c r="D7" s="10" t="n">
        <v>12547</v>
      </c>
      <c r="E7" s="1" t="n">
        <v>1010033242</v>
      </c>
      <c r="F7" s="2" t="s">
        <v>41</v>
      </c>
      <c r="G7" s="3" t="s">
        <v>42</v>
      </c>
      <c r="H7" s="3" t="s">
        <v>43</v>
      </c>
      <c r="I7" s="3"/>
      <c r="J7" s="4"/>
      <c r="K7" s="1" t="s">
        <v>20</v>
      </c>
      <c r="L7" s="1" t="s">
        <v>44</v>
      </c>
    </row>
    <row r="8" s="1" customFormat="true" ht="15" hidden="false" customHeight="false" outlineLevel="0" collapsed="false">
      <c r="A8" s="1" t="s">
        <v>14</v>
      </c>
      <c r="B8" s="10" t="n">
        <v>44988</v>
      </c>
      <c r="C8" s="1" t="s">
        <v>45</v>
      </c>
      <c r="D8" s="10" t="n">
        <v>44372</v>
      </c>
      <c r="E8" s="1" t="n">
        <v>1400361697</v>
      </c>
      <c r="F8" s="2" t="s">
        <v>46</v>
      </c>
      <c r="G8" s="3" t="s">
        <v>47</v>
      </c>
      <c r="H8" s="3" t="s">
        <v>48</v>
      </c>
      <c r="I8" s="3"/>
      <c r="J8" s="4"/>
      <c r="K8" s="1" t="s">
        <v>49</v>
      </c>
    </row>
    <row r="9" s="1" customFormat="true" ht="15" hidden="false" customHeight="false" outlineLevel="0" collapsed="false">
      <c r="A9" s="1" t="s">
        <v>14</v>
      </c>
      <c r="B9" s="10" t="n">
        <v>44990</v>
      </c>
      <c r="C9" s="1" t="s">
        <v>50</v>
      </c>
      <c r="D9" s="10" t="n">
        <v>23473</v>
      </c>
      <c r="E9" s="1" t="n">
        <v>1001694549</v>
      </c>
      <c r="F9" s="2" t="s">
        <v>51</v>
      </c>
      <c r="G9" s="3" t="s">
        <v>52</v>
      </c>
      <c r="H9" s="3" t="s">
        <v>53</v>
      </c>
      <c r="I9" s="3"/>
      <c r="J9" s="4"/>
      <c r="K9" s="1" t="s">
        <v>49</v>
      </c>
    </row>
    <row r="10" s="1" customFormat="true" ht="27" hidden="false" customHeight="false" outlineLevel="0" collapsed="false">
      <c r="A10" s="1" t="s">
        <v>14</v>
      </c>
      <c r="B10" s="10" t="n">
        <v>45003</v>
      </c>
      <c r="C10" s="1" t="s">
        <v>54</v>
      </c>
      <c r="D10" s="10" t="n">
        <v>20739</v>
      </c>
      <c r="E10" s="1" t="n">
        <v>1006139627</v>
      </c>
      <c r="F10" s="2" t="s">
        <v>55</v>
      </c>
      <c r="G10" s="3" t="s">
        <v>56</v>
      </c>
      <c r="H10" s="3" t="s">
        <v>57</v>
      </c>
      <c r="I10" s="3"/>
      <c r="J10" s="4"/>
      <c r="K10" s="1" t="s">
        <v>49</v>
      </c>
    </row>
    <row r="11" s="1" customFormat="true" ht="15" hidden="false" customHeight="false" outlineLevel="0" collapsed="false">
      <c r="A11" s="1" t="s">
        <v>14</v>
      </c>
      <c r="B11" s="10" t="n">
        <v>45000</v>
      </c>
      <c r="C11" s="1" t="s">
        <v>58</v>
      </c>
      <c r="D11" s="10" t="n">
        <v>39724</v>
      </c>
      <c r="E11" s="1" t="n">
        <v>1009487000</v>
      </c>
      <c r="F11" s="2" t="s">
        <v>59</v>
      </c>
      <c r="G11" s="3" t="s">
        <v>60</v>
      </c>
      <c r="H11" s="3" t="s">
        <v>61</v>
      </c>
      <c r="I11" s="3"/>
      <c r="J11" s="4"/>
      <c r="K11" s="1" t="s">
        <v>49</v>
      </c>
    </row>
    <row r="12" s="1" customFormat="true" ht="15" hidden="false" customHeight="false" outlineLevel="0" collapsed="false">
      <c r="A12" s="1" t="s">
        <v>62</v>
      </c>
      <c r="B12" s="10" t="n">
        <v>45011</v>
      </c>
      <c r="C12" s="1" t="s">
        <v>63</v>
      </c>
      <c r="D12" s="10" t="n">
        <v>40406</v>
      </c>
      <c r="E12" s="1" t="n">
        <v>1401099922</v>
      </c>
      <c r="F12" s="2" t="s">
        <v>64</v>
      </c>
      <c r="G12" s="3" t="s">
        <v>65</v>
      </c>
      <c r="H12" s="3" t="s">
        <v>66</v>
      </c>
      <c r="I12" s="3"/>
      <c r="J12" s="4"/>
      <c r="K12" s="1" t="s">
        <v>49</v>
      </c>
    </row>
    <row r="13" s="1" customFormat="true" ht="15" hidden="false" customHeight="false" outlineLevel="0" collapsed="false">
      <c r="A13" s="1" t="s">
        <v>62</v>
      </c>
      <c r="B13" s="10" t="n">
        <v>45004</v>
      </c>
      <c r="C13" s="1" t="s">
        <v>67</v>
      </c>
      <c r="D13" s="10" t="n">
        <v>38014</v>
      </c>
      <c r="E13" s="1" t="n">
        <v>1010178079</v>
      </c>
      <c r="F13" s="2" t="s">
        <v>68</v>
      </c>
      <c r="G13" s="3" t="s">
        <v>69</v>
      </c>
      <c r="H13" s="3" t="s">
        <v>70</v>
      </c>
      <c r="I13" s="3"/>
      <c r="J13" s="4"/>
      <c r="K13" s="1" t="s">
        <v>20</v>
      </c>
    </row>
    <row r="14" s="1" customFormat="true" ht="15" hidden="false" customHeight="false" outlineLevel="0" collapsed="false">
      <c r="A14" s="1" t="s">
        <v>62</v>
      </c>
      <c r="B14" s="10" t="n">
        <v>45010</v>
      </c>
      <c r="C14" s="1" t="s">
        <v>71</v>
      </c>
      <c r="D14" s="10" t="n">
        <v>39197</v>
      </c>
      <c r="E14" s="1" t="n">
        <v>1400775825</v>
      </c>
      <c r="F14" s="2" t="s">
        <v>72</v>
      </c>
      <c r="G14" s="3" t="s">
        <v>73</v>
      </c>
      <c r="H14" s="3" t="s">
        <v>74</v>
      </c>
      <c r="I14" s="3"/>
      <c r="J14" s="4"/>
      <c r="K14" s="1" t="s">
        <v>20</v>
      </c>
    </row>
    <row r="15" s="1" customFormat="true" ht="15" hidden="false" customHeight="false" outlineLevel="0" collapsed="false">
      <c r="A15" s="1" t="s">
        <v>14</v>
      </c>
      <c r="B15" s="10" t="n">
        <v>45010</v>
      </c>
      <c r="C15" s="1" t="s">
        <v>75</v>
      </c>
      <c r="D15" s="10" t="n">
        <v>31154</v>
      </c>
      <c r="E15" s="1" t="n">
        <v>1401159022</v>
      </c>
      <c r="F15" s="2" t="s">
        <v>76</v>
      </c>
      <c r="G15" s="3" t="s">
        <v>77</v>
      </c>
      <c r="H15" s="3" t="s">
        <v>78</v>
      </c>
      <c r="I15" s="3"/>
      <c r="J15" s="4"/>
      <c r="K15" s="1" t="s">
        <v>20</v>
      </c>
    </row>
    <row r="16" s="11" customFormat="true" ht="15" hidden="false" customHeight="false" outlineLevel="0" collapsed="false">
      <c r="A16" s="11" t="s">
        <v>62</v>
      </c>
      <c r="B16" s="12" t="n">
        <v>45010</v>
      </c>
      <c r="C16" s="11" t="s">
        <v>79</v>
      </c>
      <c r="D16" s="12" t="n">
        <v>36995</v>
      </c>
      <c r="E16" s="11" t="n">
        <v>1008398675</v>
      </c>
      <c r="F16" s="13"/>
      <c r="G16" s="14" t="s">
        <v>80</v>
      </c>
      <c r="H16" s="14" t="s">
        <v>81</v>
      </c>
      <c r="I16" s="14"/>
      <c r="J16" s="4"/>
      <c r="K16" s="11" t="s">
        <v>20</v>
      </c>
    </row>
    <row r="17" s="1" customFormat="true" ht="27" hidden="false" customHeight="false" outlineLevel="0" collapsed="false">
      <c r="A17" s="1" t="s">
        <v>14</v>
      </c>
      <c r="B17" s="10" t="n">
        <v>44995</v>
      </c>
      <c r="C17" s="1" t="s">
        <v>82</v>
      </c>
      <c r="D17" s="10" t="n">
        <v>24330</v>
      </c>
      <c r="E17" s="1" t="n">
        <v>1401141829</v>
      </c>
      <c r="F17" s="2" t="s">
        <v>83</v>
      </c>
      <c r="G17" s="3" t="s">
        <v>84</v>
      </c>
      <c r="H17" s="3" t="s">
        <v>85</v>
      </c>
      <c r="I17" s="3" t="s">
        <v>86</v>
      </c>
      <c r="J17" s="4"/>
      <c r="K17" s="1" t="s">
        <v>49</v>
      </c>
    </row>
    <row r="18" s="11" customFormat="true" ht="15" hidden="false" customHeight="false" outlineLevel="0" collapsed="false">
      <c r="A18" s="11" t="s">
        <v>62</v>
      </c>
      <c r="B18" s="12" t="n">
        <v>45010</v>
      </c>
      <c r="C18" s="11" t="s">
        <v>87</v>
      </c>
      <c r="D18" s="12" t="n">
        <v>35373</v>
      </c>
      <c r="E18" s="11" t="n">
        <v>1003874435</v>
      </c>
      <c r="F18" s="13"/>
      <c r="G18" s="14" t="s">
        <v>88</v>
      </c>
      <c r="H18" s="14" t="s">
        <v>89</v>
      </c>
      <c r="I18" s="14" t="s">
        <v>90</v>
      </c>
      <c r="J18" s="4"/>
      <c r="K18" s="11" t="s">
        <v>20</v>
      </c>
    </row>
    <row r="19" customFormat="false" ht="15" hidden="false" customHeight="false" outlineLevel="0" collapsed="false">
      <c r="A19" s="1" t="s">
        <v>14</v>
      </c>
      <c r="B19" s="10" t="n">
        <v>45011</v>
      </c>
      <c r="C19" s="1" t="s">
        <v>91</v>
      </c>
      <c r="D19" s="10" t="n">
        <v>36996</v>
      </c>
      <c r="E19" s="1" t="n">
        <v>1008108363</v>
      </c>
      <c r="F19" s="2" t="s">
        <v>76</v>
      </c>
      <c r="G19" s="3" t="s">
        <v>92</v>
      </c>
      <c r="H19" s="3" t="s">
        <v>93</v>
      </c>
      <c r="I19" s="3" t="s">
        <v>94</v>
      </c>
      <c r="K19" s="1" t="s">
        <v>20</v>
      </c>
    </row>
    <row r="20" customFormat="false" ht="77" hidden="false" customHeight="false" outlineLevel="0" collapsed="false">
      <c r="A20" s="1" t="s">
        <v>14</v>
      </c>
      <c r="B20" s="10" t="n">
        <v>45019</v>
      </c>
      <c r="C20" s="1" t="s">
        <v>95</v>
      </c>
      <c r="D20" s="10" t="n">
        <v>41285</v>
      </c>
      <c r="E20" s="1" t="n">
        <v>1101578680</v>
      </c>
      <c r="F20" s="2" t="s">
        <v>96</v>
      </c>
      <c r="G20" s="3" t="s">
        <v>97</v>
      </c>
      <c r="H20" s="3" t="s">
        <v>98</v>
      </c>
      <c r="K20" s="1" t="s">
        <v>99</v>
      </c>
      <c r="N20" s="3" t="s">
        <v>100</v>
      </c>
    </row>
    <row r="21" customFormat="false" ht="15" hidden="false" customHeight="false" outlineLevel="0" collapsed="false">
      <c r="A21" s="1" t="s">
        <v>14</v>
      </c>
      <c r="B21" s="10" t="n">
        <v>45020</v>
      </c>
      <c r="C21" s="1" t="s">
        <v>101</v>
      </c>
      <c r="D21" s="10" t="n">
        <v>22077</v>
      </c>
      <c r="E21" s="1" t="n">
        <v>1000053365</v>
      </c>
      <c r="F21" s="2" t="s">
        <v>102</v>
      </c>
      <c r="G21" s="3" t="s">
        <v>103</v>
      </c>
      <c r="H21" s="3" t="s">
        <v>104</v>
      </c>
      <c r="K21" s="1" t="s">
        <v>99</v>
      </c>
      <c r="N21" s="3" t="s">
        <v>105</v>
      </c>
    </row>
    <row r="22" s="1" customFormat="true" ht="15" hidden="false" customHeight="false" outlineLevel="0" collapsed="false">
      <c r="A22" s="1" t="s">
        <v>14</v>
      </c>
      <c r="B22" s="10" t="n">
        <v>45011</v>
      </c>
      <c r="C22" s="1" t="s">
        <v>106</v>
      </c>
      <c r="D22" s="10" t="n">
        <v>24743</v>
      </c>
      <c r="E22" s="1" t="n">
        <v>1100404076</v>
      </c>
      <c r="F22" s="2" t="s">
        <v>107</v>
      </c>
      <c r="G22" s="3" t="s">
        <v>108</v>
      </c>
      <c r="H22" s="3" t="s">
        <v>109</v>
      </c>
      <c r="I22" s="3" t="s">
        <v>24</v>
      </c>
      <c r="J22" s="4"/>
      <c r="K22" s="1" t="s">
        <v>20</v>
      </c>
    </row>
    <row r="23" s="1" customFormat="true" ht="15" hidden="false" customHeight="false" outlineLevel="0" collapsed="false">
      <c r="A23" s="1" t="s">
        <v>14</v>
      </c>
      <c r="B23" s="10" t="n">
        <v>45011</v>
      </c>
      <c r="C23" s="1" t="s">
        <v>110</v>
      </c>
      <c r="D23" s="10" t="n">
        <v>29427</v>
      </c>
      <c r="E23" s="1" t="n">
        <v>1007809059</v>
      </c>
      <c r="F23" s="2" t="s">
        <v>51</v>
      </c>
      <c r="G23" s="3" t="s">
        <v>111</v>
      </c>
      <c r="H23" s="3" t="s">
        <v>112</v>
      </c>
      <c r="I23" s="3" t="s">
        <v>113</v>
      </c>
      <c r="J23" s="4"/>
      <c r="K23" s="1" t="s">
        <v>20</v>
      </c>
    </row>
    <row r="24" s="1" customFormat="true" ht="15" hidden="false" customHeight="false" outlineLevel="0" collapsed="false">
      <c r="A24" s="1" t="s">
        <v>14</v>
      </c>
      <c r="B24" s="10" t="n">
        <v>45011</v>
      </c>
      <c r="C24" s="1" t="s">
        <v>114</v>
      </c>
      <c r="D24" s="10" t="n">
        <v>26526</v>
      </c>
      <c r="E24" s="1" t="n">
        <v>1011109895</v>
      </c>
      <c r="F24" s="2" t="s">
        <v>115</v>
      </c>
      <c r="G24" s="3" t="s">
        <v>116</v>
      </c>
      <c r="H24" s="3" t="s">
        <v>117</v>
      </c>
      <c r="I24" s="3" t="s">
        <v>118</v>
      </c>
      <c r="J24" s="4"/>
      <c r="K24" s="1" t="s">
        <v>20</v>
      </c>
    </row>
    <row r="25" s="1" customFormat="true" ht="15" hidden="false" customHeight="false" outlineLevel="0" collapsed="false">
      <c r="A25" s="1" t="s">
        <v>14</v>
      </c>
      <c r="B25" s="10" t="n">
        <v>45004</v>
      </c>
      <c r="C25" s="1" t="s">
        <v>119</v>
      </c>
      <c r="D25" s="10" t="n">
        <v>26635</v>
      </c>
      <c r="E25" s="1" t="n">
        <v>1102644291</v>
      </c>
      <c r="F25" s="2" t="s">
        <v>120</v>
      </c>
      <c r="G25" s="3" t="s">
        <v>121</v>
      </c>
      <c r="H25" s="3" t="s">
        <v>122</v>
      </c>
      <c r="I25" s="3" t="s">
        <v>123</v>
      </c>
      <c r="J25" s="4"/>
      <c r="K25" s="1" t="s">
        <v>20</v>
      </c>
    </row>
    <row r="26" s="1" customFormat="true" ht="15" hidden="false" customHeight="false" outlineLevel="0" collapsed="false">
      <c r="A26" s="1" t="s">
        <v>62</v>
      </c>
      <c r="B26" s="10" t="n">
        <v>45014</v>
      </c>
      <c r="C26" s="1" t="s">
        <v>124</v>
      </c>
      <c r="D26" s="10" t="n">
        <v>13219</v>
      </c>
      <c r="E26" s="1" t="n">
        <v>1100515863</v>
      </c>
      <c r="F26" s="2" t="s">
        <v>125</v>
      </c>
      <c r="G26" s="3" t="s">
        <v>126</v>
      </c>
      <c r="H26" s="3" t="s">
        <v>127</v>
      </c>
      <c r="I26" s="3" t="s">
        <v>128</v>
      </c>
      <c r="J26" s="4"/>
      <c r="K26" s="1" t="s">
        <v>20</v>
      </c>
      <c r="L26" s="1" t="s">
        <v>129</v>
      </c>
    </row>
    <row r="27" s="1" customFormat="true" ht="15" hidden="false" customHeight="false" outlineLevel="0" collapsed="false">
      <c r="A27" s="1" t="s">
        <v>62</v>
      </c>
      <c r="B27" s="10" t="n">
        <v>45014</v>
      </c>
      <c r="C27" s="1" t="s">
        <v>130</v>
      </c>
      <c r="D27" s="10" t="n">
        <v>42816</v>
      </c>
      <c r="E27" s="1" t="n">
        <v>1401164435</v>
      </c>
      <c r="F27" s="2" t="s">
        <v>131</v>
      </c>
      <c r="G27" s="3" t="s">
        <v>132</v>
      </c>
      <c r="H27" s="3" t="s">
        <v>133</v>
      </c>
      <c r="I27" s="3" t="s">
        <v>134</v>
      </c>
      <c r="J27" s="4"/>
      <c r="K27" s="1" t="s">
        <v>20</v>
      </c>
    </row>
    <row r="28" s="1" customFormat="true" ht="32" hidden="false" customHeight="false" outlineLevel="0" collapsed="false">
      <c r="A28" s="1" t="s">
        <v>62</v>
      </c>
      <c r="B28" s="10" t="n">
        <v>45023</v>
      </c>
      <c r="C28" s="1" t="s">
        <v>135</v>
      </c>
      <c r="D28" s="10" t="n">
        <v>36182</v>
      </c>
      <c r="E28" s="1" t="n">
        <v>1006210420</v>
      </c>
      <c r="F28" s="2" t="s">
        <v>136</v>
      </c>
      <c r="G28" s="3" t="s">
        <v>136</v>
      </c>
      <c r="H28" s="3" t="s">
        <v>136</v>
      </c>
      <c r="I28" s="3" t="s">
        <v>136</v>
      </c>
      <c r="J28" s="4"/>
      <c r="K28" s="1" t="s">
        <v>99</v>
      </c>
      <c r="L28" s="15" t="s">
        <v>137</v>
      </c>
      <c r="M28" s="1" t="s">
        <v>138</v>
      </c>
      <c r="N28" s="1" t="s">
        <v>105</v>
      </c>
    </row>
    <row r="29" s="1" customFormat="true" ht="22" hidden="false" customHeight="false" outlineLevel="0" collapsed="false">
      <c r="A29" s="1" t="s">
        <v>62</v>
      </c>
      <c r="B29" s="10" t="n">
        <v>45024</v>
      </c>
      <c r="C29" s="1" t="s">
        <v>139</v>
      </c>
      <c r="D29" s="10" t="n">
        <v>26514</v>
      </c>
      <c r="E29" s="1" t="n">
        <v>1007851286</v>
      </c>
      <c r="F29" s="2"/>
      <c r="G29" s="3"/>
      <c r="H29" s="3" t="s">
        <v>140</v>
      </c>
      <c r="I29" s="3"/>
      <c r="J29" s="4"/>
      <c r="K29" s="1" t="s">
        <v>99</v>
      </c>
      <c r="L29" s="16" t="s">
        <v>141</v>
      </c>
      <c r="N29" s="1" t="s">
        <v>105</v>
      </c>
    </row>
    <row r="30" s="1" customFormat="true" ht="52" hidden="false" customHeight="false" outlineLevel="0" collapsed="false">
      <c r="A30" s="1" t="s">
        <v>14</v>
      </c>
      <c r="B30" s="10" t="n">
        <v>45026</v>
      </c>
      <c r="C30" s="1" t="s">
        <v>142</v>
      </c>
      <c r="D30" s="10" t="n">
        <v>33457</v>
      </c>
      <c r="E30" s="1" t="n">
        <v>1400587005</v>
      </c>
      <c r="F30" s="2" t="s">
        <v>143</v>
      </c>
      <c r="G30" s="3" t="s">
        <v>144</v>
      </c>
      <c r="H30" s="3" t="s">
        <v>145</v>
      </c>
      <c r="I30" s="3"/>
      <c r="J30" s="4"/>
      <c r="K30" s="1" t="s">
        <v>99</v>
      </c>
      <c r="N30" s="1" t="s">
        <v>105</v>
      </c>
      <c r="O30" s="17" t="s">
        <v>146</v>
      </c>
    </row>
    <row r="31" s="1" customFormat="true" ht="15" hidden="false" customHeight="false" outlineLevel="0" collapsed="false">
      <c r="A31" s="1" t="s">
        <v>62</v>
      </c>
      <c r="B31" s="10" t="n">
        <v>45032</v>
      </c>
      <c r="C31" s="1" t="s">
        <v>147</v>
      </c>
      <c r="D31" s="10" t="n">
        <v>44216</v>
      </c>
      <c r="E31" s="1" t="n">
        <v>1400182363</v>
      </c>
      <c r="F31" s="2" t="s">
        <v>148</v>
      </c>
      <c r="G31" s="3" t="s">
        <v>149</v>
      </c>
      <c r="H31" s="3" t="s">
        <v>150</v>
      </c>
      <c r="I31" s="3"/>
      <c r="J31" s="4"/>
      <c r="K31" s="1" t="s">
        <v>99</v>
      </c>
      <c r="N31" s="1" t="s">
        <v>105</v>
      </c>
    </row>
    <row r="32" s="1" customFormat="true" ht="100.5" hidden="false" customHeight="true" outlineLevel="0" collapsed="false">
      <c r="A32" s="1" t="s">
        <v>62</v>
      </c>
      <c r="B32" s="10" t="n">
        <v>45032</v>
      </c>
      <c r="C32" s="1" t="s">
        <v>151</v>
      </c>
      <c r="D32" s="10" t="n">
        <v>13727</v>
      </c>
      <c r="E32" s="1" t="n">
        <v>1004568326</v>
      </c>
      <c r="F32" s="2"/>
      <c r="G32" s="3"/>
      <c r="H32" s="3" t="s">
        <v>140</v>
      </c>
      <c r="I32" s="3"/>
      <c r="J32" s="4"/>
      <c r="K32" s="1" t="s">
        <v>99</v>
      </c>
      <c r="L32" s="16" t="s">
        <v>152</v>
      </c>
      <c r="N32" s="1" t="s">
        <v>105</v>
      </c>
    </row>
    <row r="33" s="1" customFormat="true" ht="15" hidden="false" customHeight="false" outlineLevel="0" collapsed="false">
      <c r="A33" s="1" t="s">
        <v>62</v>
      </c>
      <c r="B33" s="10" t="n">
        <v>45032</v>
      </c>
      <c r="C33" s="1" t="s">
        <v>153</v>
      </c>
      <c r="D33" s="10" t="n">
        <v>37438</v>
      </c>
      <c r="E33" s="1" t="n">
        <v>1006210897</v>
      </c>
      <c r="F33" s="2" t="s">
        <v>154</v>
      </c>
      <c r="G33" s="3" t="s">
        <v>155</v>
      </c>
      <c r="H33" s="3" t="s">
        <v>156</v>
      </c>
      <c r="I33" s="3"/>
      <c r="J33" s="4"/>
      <c r="K33" s="1" t="s">
        <v>99</v>
      </c>
      <c r="N33" s="1" t="s">
        <v>100</v>
      </c>
    </row>
    <row r="34" s="1" customFormat="true" ht="132" hidden="false" customHeight="false" outlineLevel="0" collapsed="false">
      <c r="A34" s="1" t="s">
        <v>62</v>
      </c>
      <c r="B34" s="10" t="n">
        <v>45035</v>
      </c>
      <c r="C34" s="1" t="s">
        <v>157</v>
      </c>
      <c r="D34" s="10" t="n">
        <v>16154</v>
      </c>
      <c r="E34" s="1" t="n">
        <v>1008799858</v>
      </c>
      <c r="F34" s="2" t="s">
        <v>41</v>
      </c>
      <c r="G34" s="3"/>
      <c r="H34" s="3"/>
      <c r="I34" s="3"/>
      <c r="J34" s="4"/>
      <c r="K34" s="1" t="s">
        <v>20</v>
      </c>
      <c r="L34" s="15" t="s">
        <v>158</v>
      </c>
      <c r="M34" s="1" t="s">
        <v>159</v>
      </c>
      <c r="N34" s="1" t="s">
        <v>105</v>
      </c>
    </row>
    <row r="35" s="1" customFormat="true" ht="15" hidden="false" customHeight="true" outlineLevel="0" collapsed="false">
      <c r="A35" s="18" t="s">
        <v>14</v>
      </c>
      <c r="B35" s="10" t="n">
        <v>45035</v>
      </c>
      <c r="C35" s="1" t="s">
        <v>160</v>
      </c>
      <c r="D35" s="10" t="n">
        <v>27789</v>
      </c>
      <c r="E35" s="1" t="n">
        <v>1006702172</v>
      </c>
      <c r="F35" s="19" t="s">
        <v>161</v>
      </c>
      <c r="G35" s="20" t="s">
        <v>162</v>
      </c>
      <c r="H35" s="20" t="s">
        <v>162</v>
      </c>
      <c r="I35" s="20"/>
      <c r="J35" s="4"/>
      <c r="K35" s="21" t="s">
        <v>20</v>
      </c>
      <c r="L35" s="18"/>
      <c r="N35" s="18" t="s">
        <v>105</v>
      </c>
    </row>
    <row r="36" s="1" customFormat="true" ht="15" hidden="false" customHeight="false" outlineLevel="0" collapsed="false">
      <c r="A36" s="18"/>
      <c r="B36" s="10" t="n">
        <v>45036</v>
      </c>
      <c r="C36" s="1" t="s">
        <v>160</v>
      </c>
      <c r="D36" s="10" t="n">
        <v>27789</v>
      </c>
      <c r="E36" s="1" t="n">
        <v>1006702172</v>
      </c>
      <c r="F36" s="19"/>
      <c r="G36" s="20"/>
      <c r="H36" s="20"/>
      <c r="I36" s="20"/>
      <c r="J36" s="4"/>
      <c r="K36" s="21"/>
      <c r="L36" s="18"/>
      <c r="N36" s="18"/>
    </row>
    <row r="37" customFormat="false" ht="77" hidden="false" customHeight="false" outlineLevel="0" collapsed="false">
      <c r="B37" s="10" t="n">
        <v>45036</v>
      </c>
      <c r="C37" s="1" t="s">
        <v>163</v>
      </c>
      <c r="D37" s="10" t="n">
        <v>19953</v>
      </c>
      <c r="E37" s="1" t="n">
        <v>1000011302</v>
      </c>
      <c r="F37" s="22" t="s">
        <v>164</v>
      </c>
      <c r="N37" s="1" t="s">
        <v>100</v>
      </c>
    </row>
    <row r="38" customFormat="false" ht="15" hidden="false" customHeight="false" outlineLevel="0" collapsed="false">
      <c r="B38" s="10" t="n">
        <v>45036</v>
      </c>
      <c r="C38" s="1" t="s">
        <v>165</v>
      </c>
      <c r="D38" s="10" t="n">
        <v>43547</v>
      </c>
      <c r="E38" s="1" t="n">
        <v>1201281826</v>
      </c>
      <c r="N38" s="1" t="s">
        <v>100</v>
      </c>
    </row>
    <row r="39" customFormat="false" ht="15" hidden="false" customHeight="false" outlineLevel="0" collapsed="false">
      <c r="A39" s="1" t="s">
        <v>62</v>
      </c>
      <c r="B39" s="10" t="n">
        <v>45036</v>
      </c>
      <c r="C39" s="1" t="s">
        <v>166</v>
      </c>
      <c r="D39" s="10" t="n">
        <v>44269</v>
      </c>
      <c r="E39" s="1" t="n">
        <v>1400242416</v>
      </c>
      <c r="F39" s="2" t="s">
        <v>136</v>
      </c>
      <c r="G39" s="3" t="s">
        <v>136</v>
      </c>
      <c r="H39" s="3" t="s">
        <v>136</v>
      </c>
      <c r="I39" s="3" t="s">
        <v>136</v>
      </c>
      <c r="K39" s="1" t="s">
        <v>99</v>
      </c>
      <c r="L39" s="1" t="s">
        <v>167</v>
      </c>
      <c r="M39" s="3" t="s">
        <v>168</v>
      </c>
      <c r="N39" s="1" t="s">
        <v>100</v>
      </c>
    </row>
    <row r="40" customFormat="false" ht="15" hidden="false" customHeight="false" outlineLevel="0" collapsed="false">
      <c r="A40" s="1" t="s">
        <v>14</v>
      </c>
      <c r="B40" s="10" t="n">
        <v>45037</v>
      </c>
      <c r="C40" s="1" t="s">
        <v>169</v>
      </c>
      <c r="D40" s="10" t="n">
        <v>22419</v>
      </c>
      <c r="E40" s="1" t="n">
        <v>1007329807</v>
      </c>
      <c r="F40" s="2" t="s">
        <v>170</v>
      </c>
      <c r="G40" s="3" t="s">
        <v>171</v>
      </c>
      <c r="H40" s="3" t="s">
        <v>172</v>
      </c>
      <c r="K40" s="1" t="s">
        <v>20</v>
      </c>
      <c r="N40" s="1" t="s">
        <v>100</v>
      </c>
    </row>
    <row r="41" customFormat="false" ht="38.25" hidden="false" customHeight="true" outlineLevel="0" collapsed="false">
      <c r="A41" s="1" t="s">
        <v>62</v>
      </c>
      <c r="B41" s="10" t="n">
        <v>45037</v>
      </c>
      <c r="C41" s="1" t="s">
        <v>173</v>
      </c>
      <c r="D41" s="10" t="n">
        <v>33934</v>
      </c>
      <c r="E41" s="1" t="n">
        <v>1102834880</v>
      </c>
      <c r="F41" s="2" t="s">
        <v>174</v>
      </c>
      <c r="G41" s="3" t="s">
        <v>175</v>
      </c>
      <c r="H41" s="3" t="s">
        <v>176</v>
      </c>
      <c r="K41" s="1" t="s">
        <v>99</v>
      </c>
      <c r="L41" s="17"/>
      <c r="N41" s="3" t="s">
        <v>105</v>
      </c>
    </row>
    <row r="42" customFormat="false" ht="15" hidden="false" customHeight="false" outlineLevel="0" collapsed="false">
      <c r="A42" s="1" t="s">
        <v>14</v>
      </c>
      <c r="B42" s="10" t="n">
        <v>45038</v>
      </c>
      <c r="C42" s="1" t="s">
        <v>177</v>
      </c>
      <c r="D42" s="10" t="n">
        <v>30897</v>
      </c>
      <c r="E42" s="1" t="n">
        <v>1102416341</v>
      </c>
      <c r="F42" s="2" t="s">
        <v>178</v>
      </c>
      <c r="G42" s="3" t="s">
        <v>179</v>
      </c>
      <c r="H42" s="3" t="s">
        <v>180</v>
      </c>
      <c r="K42" s="1" t="s">
        <v>99</v>
      </c>
      <c r="L42" s="23"/>
      <c r="N42" s="3" t="s">
        <v>105</v>
      </c>
    </row>
    <row r="43" customFormat="false" ht="27" hidden="false" customHeight="false" outlineLevel="0" collapsed="false">
      <c r="A43" s="1" t="s">
        <v>62</v>
      </c>
      <c r="B43" s="10" t="n">
        <v>45038</v>
      </c>
      <c r="C43" s="1" t="s">
        <v>181</v>
      </c>
      <c r="D43" s="10" t="n">
        <v>22739</v>
      </c>
      <c r="E43" s="1" t="n">
        <v>1102877485</v>
      </c>
      <c r="F43" s="2" t="s">
        <v>182</v>
      </c>
      <c r="G43" s="3" t="s">
        <v>183</v>
      </c>
      <c r="H43" s="3" t="s">
        <v>184</v>
      </c>
      <c r="K43" s="1" t="s">
        <v>99</v>
      </c>
      <c r="L43" s="17"/>
      <c r="N43" s="3" t="s">
        <v>105</v>
      </c>
    </row>
    <row r="44" customFormat="false" ht="27" hidden="false" customHeight="false" outlineLevel="0" collapsed="false">
      <c r="A44" s="1" t="s">
        <v>14</v>
      </c>
      <c r="B44" s="10" t="n">
        <v>45038</v>
      </c>
      <c r="C44" s="1" t="s">
        <v>185</v>
      </c>
      <c r="D44" s="10" t="n">
        <v>34460</v>
      </c>
      <c r="E44" s="1" t="n">
        <v>1401192570</v>
      </c>
      <c r="F44" s="24" t="s">
        <v>186</v>
      </c>
      <c r="G44" s="3" t="s">
        <v>187</v>
      </c>
      <c r="H44" s="3" t="s">
        <v>188</v>
      </c>
      <c r="K44" s="1" t="s">
        <v>99</v>
      </c>
      <c r="N44" s="3" t="s">
        <v>105</v>
      </c>
    </row>
    <row r="45" customFormat="false" ht="15" hidden="false" customHeight="true" outlineLevel="0" collapsed="false">
      <c r="A45" s="1" t="s">
        <v>62</v>
      </c>
      <c r="B45" s="10" t="n">
        <v>45038</v>
      </c>
      <c r="C45" s="1" t="s">
        <v>189</v>
      </c>
      <c r="D45" s="10" t="n">
        <v>10744</v>
      </c>
      <c r="E45" s="1" t="n">
        <v>1201620056</v>
      </c>
      <c r="F45" s="19" t="s">
        <v>136</v>
      </c>
      <c r="G45" s="20" t="s">
        <v>136</v>
      </c>
      <c r="H45" s="20" t="s">
        <v>136</v>
      </c>
      <c r="I45" s="20" t="s">
        <v>136</v>
      </c>
      <c r="K45" s="21" t="s">
        <v>99</v>
      </c>
      <c r="L45" s="25" t="s">
        <v>190</v>
      </c>
      <c r="M45" s="18" t="s">
        <v>168</v>
      </c>
      <c r="N45" s="18" t="s">
        <v>105</v>
      </c>
    </row>
    <row r="46" customFormat="false" ht="15.75" hidden="false" customHeight="true" outlineLevel="0" collapsed="false">
      <c r="A46" s="1" t="s">
        <v>62</v>
      </c>
      <c r="B46" s="10" t="n">
        <v>45040</v>
      </c>
      <c r="C46" s="1" t="s">
        <v>189</v>
      </c>
      <c r="D46" s="10" t="n">
        <v>10744</v>
      </c>
      <c r="E46" s="1" t="n">
        <v>1201620056</v>
      </c>
      <c r="F46" s="19"/>
      <c r="G46" s="20"/>
      <c r="H46" s="20"/>
      <c r="I46" s="20"/>
      <c r="K46" s="21"/>
      <c r="L46" s="25"/>
      <c r="M46" s="18"/>
      <c r="N46" s="18"/>
    </row>
    <row r="47" customFormat="false" ht="15" hidden="false" customHeight="false" outlineLevel="0" collapsed="false">
      <c r="A47" s="1" t="s">
        <v>62</v>
      </c>
      <c r="B47" s="10" t="n">
        <v>45040</v>
      </c>
      <c r="C47" s="1" t="s">
        <v>119</v>
      </c>
      <c r="D47" s="10" t="n">
        <v>26635</v>
      </c>
      <c r="E47" s="1" t="n">
        <v>1102644291</v>
      </c>
      <c r="F47" s="2" t="s">
        <v>191</v>
      </c>
      <c r="G47" s="3" t="s">
        <v>192</v>
      </c>
      <c r="H47" s="3" t="s">
        <v>193</v>
      </c>
      <c r="K47" s="1" t="s">
        <v>99</v>
      </c>
      <c r="N47" s="3" t="s">
        <v>105</v>
      </c>
    </row>
    <row r="48" customFormat="false" ht="15" hidden="false" customHeight="false" outlineLevel="0" collapsed="false">
      <c r="A48" s="1" t="s">
        <v>62</v>
      </c>
      <c r="B48" s="10" t="n">
        <v>45040</v>
      </c>
      <c r="C48" s="1" t="s">
        <v>194</v>
      </c>
      <c r="D48" s="10" t="n">
        <v>44691</v>
      </c>
      <c r="E48" s="1" t="n">
        <v>1401193367</v>
      </c>
      <c r="F48" s="2" t="s">
        <v>195</v>
      </c>
      <c r="G48" s="3" t="s">
        <v>196</v>
      </c>
      <c r="H48" s="3" t="s">
        <v>197</v>
      </c>
      <c r="K48" s="1" t="s">
        <v>99</v>
      </c>
      <c r="N48" s="3" t="s">
        <v>100</v>
      </c>
    </row>
    <row r="49" customFormat="false" ht="15" hidden="false" customHeight="false" outlineLevel="0" collapsed="false">
      <c r="A49" s="1" t="s">
        <v>14</v>
      </c>
      <c r="B49" s="10" t="n">
        <v>45040</v>
      </c>
      <c r="C49" s="1" t="s">
        <v>198</v>
      </c>
      <c r="D49" s="10" t="n">
        <v>24525</v>
      </c>
      <c r="E49" s="1" t="n">
        <v>1009103377</v>
      </c>
      <c r="F49" s="2" t="s">
        <v>199</v>
      </c>
      <c r="G49" s="3" t="s">
        <v>200</v>
      </c>
      <c r="H49" s="3" t="s">
        <v>201</v>
      </c>
      <c r="K49" s="1" t="s">
        <v>99</v>
      </c>
      <c r="N49" s="3" t="s">
        <v>100</v>
      </c>
    </row>
    <row r="50" customFormat="false" ht="15" hidden="false" customHeight="false" outlineLevel="0" collapsed="false">
      <c r="A50" s="1" t="s">
        <v>14</v>
      </c>
      <c r="B50" s="10" t="n">
        <v>45041</v>
      </c>
      <c r="C50" s="1" t="s">
        <v>202</v>
      </c>
      <c r="D50" s="10" t="n">
        <v>29661</v>
      </c>
      <c r="E50" s="1" t="n">
        <v>1101010685</v>
      </c>
      <c r="F50" s="2" t="s">
        <v>203</v>
      </c>
      <c r="G50" s="3" t="s">
        <v>204</v>
      </c>
      <c r="H50" s="3" t="s">
        <v>205</v>
      </c>
      <c r="K50" s="1" t="s">
        <v>99</v>
      </c>
      <c r="N50" s="3" t="s">
        <v>100</v>
      </c>
    </row>
    <row r="51" customFormat="false" ht="15" hidden="false" customHeight="true" outlineLevel="0" collapsed="false">
      <c r="A51" s="18" t="s">
        <v>14</v>
      </c>
      <c r="B51" s="10" t="n">
        <v>45041</v>
      </c>
      <c r="C51" s="1" t="s">
        <v>206</v>
      </c>
      <c r="D51" s="26" t="n">
        <v>26088</v>
      </c>
      <c r="E51" s="3" t="n">
        <v>1002805912</v>
      </c>
      <c r="F51" s="27" t="s">
        <v>207</v>
      </c>
      <c r="G51" s="18" t="s">
        <v>208</v>
      </c>
      <c r="H51" s="18" t="s">
        <v>209</v>
      </c>
      <c r="I51" s="18"/>
      <c r="J51" s="28"/>
      <c r="K51" s="21" t="s">
        <v>99</v>
      </c>
      <c r="N51" s="3" t="s">
        <v>100</v>
      </c>
    </row>
    <row r="52" customFormat="false" ht="15" hidden="false" customHeight="false" outlineLevel="0" collapsed="false">
      <c r="A52" s="18"/>
      <c r="B52" s="10" t="n">
        <v>45042</v>
      </c>
      <c r="C52" s="1" t="s">
        <v>206</v>
      </c>
      <c r="D52" s="26" t="n">
        <v>26088</v>
      </c>
      <c r="E52" s="3" t="n">
        <v>1002805912</v>
      </c>
      <c r="F52" s="27"/>
      <c r="G52" s="18"/>
      <c r="H52" s="18"/>
      <c r="I52" s="18"/>
      <c r="J52" s="28"/>
      <c r="K52" s="21"/>
      <c r="N52" s="3" t="s">
        <v>100</v>
      </c>
    </row>
    <row r="53" customFormat="false" ht="15" hidden="false" customHeight="false" outlineLevel="0" collapsed="false">
      <c r="A53" s="18"/>
      <c r="B53" s="10" t="n">
        <v>45043</v>
      </c>
      <c r="C53" s="1" t="s">
        <v>206</v>
      </c>
      <c r="D53" s="26" t="n">
        <v>26088</v>
      </c>
      <c r="E53" s="3" t="n">
        <v>1002805912</v>
      </c>
      <c r="F53" s="27"/>
      <c r="G53" s="18"/>
      <c r="H53" s="18"/>
      <c r="I53" s="18"/>
      <c r="J53" s="28"/>
      <c r="K53" s="21"/>
      <c r="N53" s="3" t="s">
        <v>100</v>
      </c>
    </row>
    <row r="54" customFormat="false" ht="27" hidden="false" customHeight="false" outlineLevel="0" collapsed="false">
      <c r="B54" s="10" t="n">
        <v>45041</v>
      </c>
      <c r="C54" s="1" t="s">
        <v>210</v>
      </c>
      <c r="D54" s="10" t="n">
        <v>35910</v>
      </c>
      <c r="E54" s="1" t="n">
        <v>1002325547</v>
      </c>
      <c r="F54" s="2" t="s">
        <v>211</v>
      </c>
      <c r="G54" s="3" t="s">
        <v>136</v>
      </c>
      <c r="H54" s="3" t="s">
        <v>136</v>
      </c>
      <c r="K54" s="1" t="s">
        <v>99</v>
      </c>
      <c r="L54" s="17" t="s">
        <v>212</v>
      </c>
      <c r="M54" s="3" t="s">
        <v>168</v>
      </c>
      <c r="N54" s="3" t="s">
        <v>100</v>
      </c>
    </row>
    <row r="55" customFormat="false" ht="78.75" hidden="false" customHeight="true" outlineLevel="0" collapsed="false">
      <c r="A55" s="1" t="s">
        <v>62</v>
      </c>
      <c r="B55" s="10" t="n">
        <v>45041</v>
      </c>
      <c r="C55" s="1" t="s">
        <v>213</v>
      </c>
      <c r="D55" s="10" t="n">
        <v>37854</v>
      </c>
      <c r="E55" s="1" t="n">
        <v>1401194719</v>
      </c>
      <c r="F55" s="2" t="s">
        <v>136</v>
      </c>
      <c r="G55" s="3" t="s">
        <v>136</v>
      </c>
      <c r="H55" s="3" t="s">
        <v>136</v>
      </c>
      <c r="K55" s="1" t="s">
        <v>99</v>
      </c>
      <c r="L55" s="17" t="s">
        <v>214</v>
      </c>
      <c r="M55" s="3" t="s">
        <v>168</v>
      </c>
      <c r="N55" s="3" t="s">
        <v>100</v>
      </c>
    </row>
    <row r="56" customFormat="false" ht="39.5" hidden="false" customHeight="false" outlineLevel="0" collapsed="false">
      <c r="B56" s="10" t="n">
        <v>45042</v>
      </c>
      <c r="C56" s="1" t="s">
        <v>215</v>
      </c>
      <c r="D56" s="10" t="n">
        <v>14453</v>
      </c>
      <c r="E56" s="1" t="n">
        <v>1000394532</v>
      </c>
      <c r="K56" s="1" t="s">
        <v>99</v>
      </c>
      <c r="L56" s="29" t="s">
        <v>216</v>
      </c>
      <c r="N56" s="3" t="s">
        <v>217</v>
      </c>
    </row>
    <row r="57" customFormat="false" ht="54.75" hidden="false" customHeight="true" outlineLevel="0" collapsed="false">
      <c r="A57" s="1" t="s">
        <v>14</v>
      </c>
      <c r="B57" s="10" t="n">
        <v>45042</v>
      </c>
      <c r="C57" s="1" t="s">
        <v>218</v>
      </c>
      <c r="D57" s="10" t="n">
        <v>36031</v>
      </c>
      <c r="E57" s="1" t="n">
        <v>1103414115</v>
      </c>
      <c r="F57" s="2" t="s">
        <v>219</v>
      </c>
      <c r="G57" s="3" t="s">
        <v>220</v>
      </c>
      <c r="H57" s="3" t="s">
        <v>221</v>
      </c>
      <c r="K57" s="1" t="s">
        <v>99</v>
      </c>
      <c r="N57" s="3" t="s">
        <v>217</v>
      </c>
    </row>
    <row r="58" customFormat="false" ht="15" hidden="false" customHeight="false" outlineLevel="0" collapsed="false">
      <c r="B58" s="10" t="n">
        <v>45042</v>
      </c>
      <c r="C58" s="1" t="s">
        <v>222</v>
      </c>
      <c r="D58" s="10" t="n">
        <v>36334</v>
      </c>
      <c r="E58" s="1" t="n">
        <v>1401198071</v>
      </c>
      <c r="N58" s="3" t="s">
        <v>100</v>
      </c>
    </row>
    <row r="59" customFormat="false" ht="15" hidden="false" customHeight="true" outlineLevel="0" collapsed="false">
      <c r="B59" s="10" t="n">
        <v>45042</v>
      </c>
      <c r="C59" s="1" t="s">
        <v>223</v>
      </c>
      <c r="D59" s="26" t="n">
        <v>39160</v>
      </c>
      <c r="E59" s="3" t="n">
        <v>1008151593</v>
      </c>
      <c r="F59" s="27" t="s">
        <v>224</v>
      </c>
      <c r="G59" s="18" t="s">
        <v>225</v>
      </c>
      <c r="H59" s="18" t="s">
        <v>226</v>
      </c>
      <c r="I59" s="18"/>
      <c r="J59" s="28"/>
      <c r="K59" s="21" t="s">
        <v>49</v>
      </c>
      <c r="N59" s="18" t="s">
        <v>105</v>
      </c>
    </row>
    <row r="60" customFormat="false" ht="15" hidden="false" customHeight="false" outlineLevel="0" collapsed="false">
      <c r="B60" s="10" t="n">
        <v>45043</v>
      </c>
      <c r="C60" s="1" t="s">
        <v>223</v>
      </c>
      <c r="D60" s="26" t="n">
        <v>39160</v>
      </c>
      <c r="E60" s="3" t="n">
        <v>1008151593</v>
      </c>
      <c r="F60" s="27"/>
      <c r="G60" s="18"/>
      <c r="H60" s="18"/>
      <c r="I60" s="18"/>
      <c r="J60" s="28"/>
      <c r="K60" s="21"/>
      <c r="N60" s="18"/>
    </row>
    <row r="61" customFormat="false" ht="15" hidden="false" customHeight="false" outlineLevel="0" collapsed="false">
      <c r="B61" s="10" t="n">
        <v>45044</v>
      </c>
      <c r="C61" s="1" t="s">
        <v>227</v>
      </c>
      <c r="D61" s="10" t="n">
        <v>35205</v>
      </c>
      <c r="E61" s="1" t="n">
        <v>1009864469</v>
      </c>
      <c r="N61" s="3" t="s">
        <v>100</v>
      </c>
    </row>
    <row r="62" customFormat="false" ht="48" hidden="false" customHeight="false" outlineLevel="0" collapsed="false">
      <c r="A62" s="1" t="s">
        <v>62</v>
      </c>
      <c r="B62" s="10" t="n">
        <v>45048</v>
      </c>
      <c r="C62" s="1" t="s">
        <v>228</v>
      </c>
      <c r="D62" s="10" t="n">
        <v>34031</v>
      </c>
      <c r="E62" s="1" t="n">
        <v>1203189615</v>
      </c>
      <c r="F62" s="2" t="s">
        <v>136</v>
      </c>
      <c r="G62" s="3" t="s">
        <v>136</v>
      </c>
      <c r="H62" s="3" t="s">
        <v>136</v>
      </c>
      <c r="I62" s="3" t="s">
        <v>136</v>
      </c>
      <c r="K62" s="1" t="s">
        <v>99</v>
      </c>
      <c r="L62" s="30" t="s">
        <v>229</v>
      </c>
      <c r="M62" s="3" t="s">
        <v>168</v>
      </c>
      <c r="N62" s="3" t="s">
        <v>105</v>
      </c>
    </row>
    <row r="63" customFormat="false" ht="27" hidden="false" customHeight="false" outlineLevel="0" collapsed="false">
      <c r="A63" s="1" t="s">
        <v>14</v>
      </c>
      <c r="B63" s="10" t="n">
        <v>45048</v>
      </c>
      <c r="C63" s="1" t="s">
        <v>230</v>
      </c>
      <c r="D63" s="10" t="n">
        <v>33118</v>
      </c>
      <c r="E63" s="1" t="n">
        <v>1000326621</v>
      </c>
      <c r="F63" s="2" t="s">
        <v>231</v>
      </c>
      <c r="G63" s="3" t="s">
        <v>232</v>
      </c>
      <c r="H63" s="3" t="s">
        <v>233</v>
      </c>
      <c r="K63" s="1" t="s">
        <v>20</v>
      </c>
      <c r="N63" s="3" t="s">
        <v>105</v>
      </c>
    </row>
    <row r="64" customFormat="false" ht="39.5" hidden="false" customHeight="false" outlineLevel="0" collapsed="false">
      <c r="A64" s="1" t="s">
        <v>14</v>
      </c>
      <c r="B64" s="10" t="n">
        <v>45050</v>
      </c>
      <c r="C64" s="1" t="s">
        <v>234</v>
      </c>
      <c r="D64" s="10" t="n">
        <v>34229</v>
      </c>
      <c r="E64" s="1" t="n">
        <v>1401206978</v>
      </c>
      <c r="F64" s="2" t="s">
        <v>235</v>
      </c>
      <c r="G64" s="3" t="s">
        <v>236</v>
      </c>
      <c r="H64" s="3" t="s">
        <v>237</v>
      </c>
      <c r="I64" s="3" t="s">
        <v>238</v>
      </c>
      <c r="K64" s="1" t="s">
        <v>20</v>
      </c>
      <c r="N64" s="3" t="s">
        <v>105</v>
      </c>
    </row>
    <row r="65" customFormat="false" ht="27" hidden="false" customHeight="false" outlineLevel="0" collapsed="false">
      <c r="A65" s="1" t="s">
        <v>14</v>
      </c>
      <c r="B65" s="10" t="n">
        <v>45050</v>
      </c>
      <c r="C65" s="1" t="s">
        <v>239</v>
      </c>
      <c r="D65" s="10" t="n">
        <v>33452</v>
      </c>
      <c r="E65" s="1" t="n">
        <v>1401207030</v>
      </c>
      <c r="F65" s="2" t="s">
        <v>240</v>
      </c>
      <c r="G65" s="3" t="s">
        <v>241</v>
      </c>
      <c r="H65" s="3" t="s">
        <v>242</v>
      </c>
      <c r="K65" s="1" t="s">
        <v>20</v>
      </c>
      <c r="N65" s="3" t="s">
        <v>105</v>
      </c>
    </row>
    <row r="66" customFormat="false" ht="52" hidden="false" customHeight="false" outlineLevel="0" collapsed="false">
      <c r="A66" s="1" t="s">
        <v>14</v>
      </c>
      <c r="B66" s="10" t="n">
        <v>45050</v>
      </c>
      <c r="C66" s="1" t="s">
        <v>71</v>
      </c>
      <c r="D66" s="10" t="n">
        <v>39197</v>
      </c>
      <c r="E66" s="1" t="n">
        <v>1400775825</v>
      </c>
      <c r="F66" s="2" t="s">
        <v>243</v>
      </c>
      <c r="G66" s="3" t="s">
        <v>244</v>
      </c>
      <c r="H66" s="3" t="s">
        <v>245</v>
      </c>
      <c r="K66" s="1" t="s">
        <v>99</v>
      </c>
      <c r="N66" s="3" t="s">
        <v>105</v>
      </c>
    </row>
    <row r="67" customFormat="false" ht="27" hidden="false" customHeight="false" outlineLevel="0" collapsed="false">
      <c r="B67" s="10" t="n">
        <v>45051</v>
      </c>
      <c r="C67" s="1" t="s">
        <v>246</v>
      </c>
      <c r="D67" s="10" t="n">
        <v>32356</v>
      </c>
      <c r="E67" s="1" t="n">
        <v>1400765238</v>
      </c>
      <c r="F67" s="2" t="s">
        <v>247</v>
      </c>
      <c r="G67" s="3" t="s">
        <v>248</v>
      </c>
      <c r="H67" s="3" t="s">
        <v>249</v>
      </c>
      <c r="I67" s="3" t="s">
        <v>250</v>
      </c>
      <c r="K67" s="1" t="s">
        <v>20</v>
      </c>
      <c r="N67" s="3" t="s">
        <v>105</v>
      </c>
    </row>
    <row r="68" customFormat="false" ht="15" hidden="false" customHeight="false" outlineLevel="0" collapsed="false">
      <c r="A68" s="1" t="s">
        <v>14</v>
      </c>
      <c r="B68" s="10" t="n">
        <v>45051</v>
      </c>
      <c r="C68" s="1" t="s">
        <v>251</v>
      </c>
      <c r="D68" s="10" t="n">
        <v>32124</v>
      </c>
      <c r="E68" s="1" t="n">
        <v>1401208505</v>
      </c>
      <c r="F68" s="2" t="s">
        <v>178</v>
      </c>
      <c r="G68" s="3" t="s">
        <v>252</v>
      </c>
      <c r="H68" s="3" t="s">
        <v>253</v>
      </c>
      <c r="K68" s="1" t="s">
        <v>99</v>
      </c>
      <c r="N68" s="3" t="s">
        <v>105</v>
      </c>
    </row>
    <row r="69" customFormat="false" ht="15" hidden="false" customHeight="false" outlineLevel="0" collapsed="false">
      <c r="A69" s="1" t="s">
        <v>14</v>
      </c>
      <c r="B69" s="10" t="n">
        <v>45051</v>
      </c>
      <c r="C69" s="1" t="s">
        <v>254</v>
      </c>
      <c r="D69" s="10" t="n">
        <v>34649</v>
      </c>
      <c r="E69" s="1" t="n">
        <v>1100390034</v>
      </c>
      <c r="F69" s="2" t="s">
        <v>255</v>
      </c>
      <c r="G69" s="3" t="s">
        <v>256</v>
      </c>
      <c r="H69" s="3" t="s">
        <v>257</v>
      </c>
      <c r="K69" s="1" t="s">
        <v>99</v>
      </c>
      <c r="N69" s="3" t="s">
        <v>105</v>
      </c>
    </row>
    <row r="70" customFormat="false" ht="15" hidden="false" customHeight="false" outlineLevel="0" collapsed="false">
      <c r="B70" s="10" t="n">
        <v>45051</v>
      </c>
      <c r="C70" s="1" t="s">
        <v>258</v>
      </c>
      <c r="D70" s="10" t="n">
        <v>16710</v>
      </c>
      <c r="E70" s="1" t="n">
        <v>1010821889</v>
      </c>
      <c r="F70" s="2" t="s">
        <v>259</v>
      </c>
      <c r="G70" s="3" t="s">
        <v>260</v>
      </c>
      <c r="H70" s="3" t="s">
        <v>261</v>
      </c>
      <c r="K70" s="1" t="s">
        <v>49</v>
      </c>
      <c r="N70" s="3" t="s">
        <v>105</v>
      </c>
    </row>
    <row r="71" customFormat="false" ht="52" hidden="false" customHeight="false" outlineLevel="0" collapsed="false">
      <c r="A71" s="1" t="s">
        <v>14</v>
      </c>
      <c r="B71" s="10" t="n">
        <v>45052</v>
      </c>
      <c r="C71" s="1" t="s">
        <v>262</v>
      </c>
      <c r="D71" s="10" t="n">
        <v>38403</v>
      </c>
      <c r="E71" s="1" t="n">
        <v>1401161378</v>
      </c>
      <c r="F71" s="2" t="s">
        <v>263</v>
      </c>
      <c r="G71" s="3" t="s">
        <v>264</v>
      </c>
      <c r="H71" s="3" t="s">
        <v>265</v>
      </c>
      <c r="K71" s="1" t="s">
        <v>99</v>
      </c>
      <c r="L71" s="23" t="s">
        <v>266</v>
      </c>
      <c r="N71" s="3" t="s">
        <v>105</v>
      </c>
    </row>
    <row r="72" customFormat="false" ht="27" hidden="false" customHeight="false" outlineLevel="0" collapsed="false">
      <c r="A72" s="1" t="s">
        <v>62</v>
      </c>
      <c r="B72" s="10" t="n">
        <v>45052</v>
      </c>
      <c r="C72" s="1" t="s">
        <v>267</v>
      </c>
      <c r="D72" s="10" t="n">
        <v>27078</v>
      </c>
      <c r="E72" s="1" t="n">
        <v>1401209998</v>
      </c>
      <c r="F72" s="2" t="s">
        <v>268</v>
      </c>
      <c r="G72" s="3" t="s">
        <v>269</v>
      </c>
      <c r="H72" s="3" t="s">
        <v>270</v>
      </c>
      <c r="I72" s="3" t="s">
        <v>271</v>
      </c>
      <c r="K72" s="1" t="s">
        <v>20</v>
      </c>
      <c r="N72" s="3" t="s">
        <v>105</v>
      </c>
    </row>
    <row r="73" customFormat="false" ht="15" hidden="false" customHeight="false" outlineLevel="0" collapsed="false">
      <c r="A73" s="1" t="s">
        <v>14</v>
      </c>
      <c r="B73" s="10" t="n">
        <v>45052</v>
      </c>
      <c r="C73" s="1" t="s">
        <v>272</v>
      </c>
      <c r="D73" s="10" t="n">
        <v>39129</v>
      </c>
      <c r="E73" s="1" t="n">
        <v>1401210342</v>
      </c>
      <c r="F73" s="22" t="s">
        <v>273</v>
      </c>
      <c r="K73" s="23" t="s">
        <v>20</v>
      </c>
      <c r="L73" s="23" t="s">
        <v>274</v>
      </c>
      <c r="N73" s="3" t="s">
        <v>105</v>
      </c>
    </row>
    <row r="74" customFormat="false" ht="15" hidden="false" customHeight="false" outlineLevel="0" collapsed="false">
      <c r="B74" s="10" t="n">
        <v>45056</v>
      </c>
      <c r="C74" s="1" t="s">
        <v>275</v>
      </c>
      <c r="D74" s="10" t="n">
        <v>25351</v>
      </c>
      <c r="E74" s="1" t="n">
        <v>1401182212</v>
      </c>
      <c r="I74" s="3" t="s">
        <v>276</v>
      </c>
      <c r="K74" s="23" t="s">
        <v>20</v>
      </c>
      <c r="L74" s="23" t="s">
        <v>277</v>
      </c>
      <c r="N74" s="3" t="s">
        <v>105</v>
      </c>
    </row>
    <row r="75" customFormat="false" ht="15" hidden="false" customHeight="false" outlineLevel="0" collapsed="false">
      <c r="A75" s="1" t="s">
        <v>14</v>
      </c>
      <c r="B75" s="10" t="n">
        <v>45056</v>
      </c>
      <c r="C75" s="1" t="s">
        <v>278</v>
      </c>
      <c r="D75" s="10" t="n">
        <v>26731</v>
      </c>
      <c r="E75" s="1" t="n">
        <v>1401215589</v>
      </c>
      <c r="F75" s="2" t="s">
        <v>279</v>
      </c>
      <c r="G75" s="3" t="s">
        <v>280</v>
      </c>
      <c r="H75" s="3" t="s">
        <v>281</v>
      </c>
      <c r="K75" s="1" t="s">
        <v>20</v>
      </c>
      <c r="L75" s="1" t="s">
        <v>282</v>
      </c>
      <c r="N75" s="3" t="s">
        <v>105</v>
      </c>
    </row>
    <row r="76" customFormat="false" ht="15" hidden="false" customHeight="false" outlineLevel="0" collapsed="false">
      <c r="A76" s="1" t="s">
        <v>62</v>
      </c>
      <c r="B76" s="10" t="n">
        <v>45057</v>
      </c>
      <c r="C76" s="1" t="s">
        <v>283</v>
      </c>
      <c r="D76" s="10" t="n">
        <v>44349</v>
      </c>
      <c r="E76" s="1" t="n">
        <v>1401216040</v>
      </c>
      <c r="F76" s="2" t="s">
        <v>284</v>
      </c>
      <c r="G76" s="3" t="s">
        <v>285</v>
      </c>
      <c r="H76" s="3" t="s">
        <v>286</v>
      </c>
      <c r="K76" s="1" t="s">
        <v>49</v>
      </c>
      <c r="N76" s="3" t="s">
        <v>105</v>
      </c>
    </row>
    <row r="77" customFormat="false" ht="15" hidden="false" customHeight="false" outlineLevel="0" collapsed="false">
      <c r="A77" s="1" t="s">
        <v>14</v>
      </c>
      <c r="B77" s="10" t="n">
        <v>45058</v>
      </c>
      <c r="C77" s="1" t="s">
        <v>287</v>
      </c>
      <c r="D77" s="10" t="n">
        <v>38899</v>
      </c>
      <c r="E77" s="1" t="n">
        <v>1401138268</v>
      </c>
      <c r="F77" s="2" t="s">
        <v>288</v>
      </c>
      <c r="G77" s="3" t="s">
        <v>289</v>
      </c>
      <c r="H77" s="3" t="s">
        <v>290</v>
      </c>
      <c r="I77" s="3" t="s">
        <v>291</v>
      </c>
      <c r="K77" s="1" t="s">
        <v>20</v>
      </c>
      <c r="L77" s="1" t="s">
        <v>282</v>
      </c>
      <c r="N77" s="3" t="s">
        <v>100</v>
      </c>
    </row>
    <row r="78" customFormat="false" ht="27" hidden="false" customHeight="false" outlineLevel="0" collapsed="false">
      <c r="A78" s="1" t="s">
        <v>14</v>
      </c>
      <c r="B78" s="10" t="n">
        <v>45058</v>
      </c>
      <c r="C78" s="1" t="s">
        <v>292</v>
      </c>
      <c r="D78" s="10" t="n">
        <v>32459</v>
      </c>
      <c r="E78" s="1" t="n">
        <v>1102188394</v>
      </c>
      <c r="F78" s="2" t="s">
        <v>293</v>
      </c>
      <c r="G78" s="3" t="s">
        <v>294</v>
      </c>
      <c r="H78" s="3" t="s">
        <v>295</v>
      </c>
      <c r="I78" s="3" t="s">
        <v>296</v>
      </c>
      <c r="K78" s="1" t="s">
        <v>20</v>
      </c>
      <c r="L78" s="1" t="s">
        <v>282</v>
      </c>
      <c r="N78" s="3" t="s">
        <v>100</v>
      </c>
    </row>
    <row r="79" customFormat="false" ht="27" hidden="false" customHeight="false" outlineLevel="0" collapsed="false">
      <c r="A79" s="1" t="s">
        <v>14</v>
      </c>
      <c r="B79" s="10" t="n">
        <v>45059</v>
      </c>
      <c r="C79" s="1" t="s">
        <v>297</v>
      </c>
      <c r="D79" s="10" t="n">
        <v>38107</v>
      </c>
      <c r="E79" s="1" t="n">
        <v>1401098593</v>
      </c>
      <c r="F79" s="2" t="s">
        <v>298</v>
      </c>
      <c r="G79" s="3" t="s">
        <v>299</v>
      </c>
      <c r="H79" s="3" t="s">
        <v>300</v>
      </c>
      <c r="K79" s="1" t="s">
        <v>49</v>
      </c>
      <c r="N79" s="3" t="s">
        <v>100</v>
      </c>
    </row>
    <row r="80" customFormat="false" ht="15" hidden="false" customHeight="false" outlineLevel="0" collapsed="false">
      <c r="B80" s="10" t="n">
        <v>45059</v>
      </c>
      <c r="C80" s="1" t="s">
        <v>301</v>
      </c>
      <c r="D80" s="10" t="n">
        <v>21780</v>
      </c>
      <c r="E80" s="1" t="n">
        <v>1009803334</v>
      </c>
      <c r="F80" s="2" t="s">
        <v>302</v>
      </c>
      <c r="G80" s="3" t="s">
        <v>303</v>
      </c>
      <c r="H80" s="3" t="s">
        <v>304</v>
      </c>
      <c r="K80" s="1" t="s">
        <v>99</v>
      </c>
      <c r="N80" s="3" t="s">
        <v>100</v>
      </c>
    </row>
    <row r="81" customFormat="false" ht="15" hidden="false" customHeight="false" outlineLevel="0" collapsed="false">
      <c r="A81" s="1" t="s">
        <v>14</v>
      </c>
      <c r="B81" s="10" t="n">
        <v>45061</v>
      </c>
      <c r="C81" s="1" t="s">
        <v>305</v>
      </c>
      <c r="D81" s="10" t="n">
        <v>43803</v>
      </c>
      <c r="E81" s="1" t="n">
        <v>1400616084</v>
      </c>
      <c r="F81" s="2" t="s">
        <v>306</v>
      </c>
      <c r="G81" s="3" t="s">
        <v>307</v>
      </c>
      <c r="H81" s="3" t="s">
        <v>308</v>
      </c>
      <c r="K81" s="1" t="s">
        <v>49</v>
      </c>
      <c r="N81" s="3" t="s">
        <v>100</v>
      </c>
    </row>
    <row r="82" customFormat="false" ht="39.5" hidden="false" customHeight="false" outlineLevel="0" collapsed="false">
      <c r="A82" s="1" t="s">
        <v>14</v>
      </c>
      <c r="B82" s="10" t="n">
        <v>45061</v>
      </c>
      <c r="C82" s="1" t="s">
        <v>309</v>
      </c>
      <c r="D82" s="10" t="n">
        <v>39826</v>
      </c>
      <c r="E82" s="1" t="n">
        <v>1009024651</v>
      </c>
      <c r="F82" s="2" t="s">
        <v>310</v>
      </c>
      <c r="G82" s="3" t="s">
        <v>311</v>
      </c>
      <c r="H82" s="3" t="s">
        <v>312</v>
      </c>
      <c r="K82" s="1" t="s">
        <v>49</v>
      </c>
      <c r="N82" s="3" t="s">
        <v>100</v>
      </c>
    </row>
    <row r="83" customFormat="false" ht="15" hidden="false" customHeight="false" outlineLevel="0" collapsed="false">
      <c r="A83" s="1" t="s">
        <v>14</v>
      </c>
      <c r="B83" s="10" t="n">
        <v>45063</v>
      </c>
      <c r="C83" s="1" t="s">
        <v>119</v>
      </c>
      <c r="D83" s="10" t="n">
        <v>26635</v>
      </c>
      <c r="E83" s="1" t="n">
        <v>1102644291</v>
      </c>
      <c r="F83" s="2" t="s">
        <v>313</v>
      </c>
      <c r="G83" s="3" t="s">
        <v>314</v>
      </c>
      <c r="H83" s="3" t="s">
        <v>315</v>
      </c>
      <c r="K83" s="1" t="s">
        <v>49</v>
      </c>
      <c r="N83" s="3" t="s">
        <v>100</v>
      </c>
    </row>
    <row r="84" customFormat="false" ht="39.5" hidden="false" customHeight="false" outlineLevel="0" collapsed="false">
      <c r="A84" s="1" t="s">
        <v>14</v>
      </c>
      <c r="B84" s="10" t="n">
        <v>45064</v>
      </c>
      <c r="C84" s="1" t="s">
        <v>316</v>
      </c>
      <c r="D84" s="10" t="n">
        <v>37644</v>
      </c>
      <c r="E84" s="1" t="n">
        <v>1401224985</v>
      </c>
      <c r="F84" s="2" t="s">
        <v>317</v>
      </c>
      <c r="G84" s="3" t="s">
        <v>318</v>
      </c>
      <c r="H84" s="3" t="s">
        <v>319</v>
      </c>
      <c r="K84" s="1" t="s">
        <v>49</v>
      </c>
      <c r="N84" s="3" t="s">
        <v>100</v>
      </c>
    </row>
    <row r="85" customFormat="false" ht="15" hidden="false" customHeight="false" outlineLevel="0" collapsed="false">
      <c r="B85" s="10" t="n">
        <v>45064</v>
      </c>
      <c r="C85" s="1" t="s">
        <v>320</v>
      </c>
      <c r="D85" s="10" t="n">
        <v>20089</v>
      </c>
      <c r="E85" s="1" t="n">
        <v>1001688210</v>
      </c>
      <c r="F85" s="2" t="s">
        <v>321</v>
      </c>
      <c r="G85" s="3" t="s">
        <v>322</v>
      </c>
      <c r="H85" s="3" t="s">
        <v>323</v>
      </c>
      <c r="K85" s="1" t="s">
        <v>49</v>
      </c>
      <c r="N85" s="3" t="s">
        <v>100</v>
      </c>
    </row>
    <row r="86" customFormat="false" ht="15" hidden="false" customHeight="false" outlineLevel="0" collapsed="false">
      <c r="A86" s="1" t="s">
        <v>62</v>
      </c>
      <c r="B86" s="10" t="n">
        <v>45066</v>
      </c>
      <c r="C86" s="1" t="s">
        <v>324</v>
      </c>
      <c r="D86" s="10" t="n">
        <v>44277</v>
      </c>
      <c r="E86" s="1" t="n">
        <v>1401075971</v>
      </c>
      <c r="F86" s="2" t="s">
        <v>325</v>
      </c>
      <c r="G86" s="3" t="s">
        <v>326</v>
      </c>
      <c r="H86" s="3" t="s">
        <v>327</v>
      </c>
      <c r="K86" s="1" t="s">
        <v>49</v>
      </c>
      <c r="N86" s="3" t="s">
        <v>100</v>
      </c>
    </row>
    <row r="87" customFormat="false" ht="15" hidden="false" customHeight="false" outlineLevel="0" collapsed="false">
      <c r="A87" s="1" t="s">
        <v>62</v>
      </c>
      <c r="B87" s="10" t="n">
        <v>45066</v>
      </c>
      <c r="C87" s="1" t="s">
        <v>328</v>
      </c>
      <c r="D87" s="10" t="n">
        <v>31805</v>
      </c>
      <c r="E87" s="1" t="n">
        <v>1102894735</v>
      </c>
      <c r="F87" s="2" t="s">
        <v>325</v>
      </c>
      <c r="G87" s="3" t="s">
        <v>329</v>
      </c>
      <c r="H87" s="3" t="s">
        <v>330</v>
      </c>
      <c r="K87" s="1" t="s">
        <v>49</v>
      </c>
      <c r="N87" s="3" t="s">
        <v>100</v>
      </c>
    </row>
    <row r="88" customFormat="false" ht="15" hidden="false" customHeight="false" outlineLevel="0" collapsed="false">
      <c r="A88" s="1" t="s">
        <v>14</v>
      </c>
      <c r="B88" s="10" t="n">
        <v>45067</v>
      </c>
      <c r="C88" s="1" t="s">
        <v>331</v>
      </c>
      <c r="D88" s="10" t="n">
        <v>35082</v>
      </c>
      <c r="E88" s="1" t="n">
        <v>1102295028</v>
      </c>
      <c r="F88" s="2" t="s">
        <v>332</v>
      </c>
      <c r="G88" s="3" t="s">
        <v>333</v>
      </c>
      <c r="H88" s="3" t="s">
        <v>334</v>
      </c>
      <c r="K88" s="1" t="s">
        <v>49</v>
      </c>
      <c r="N88" s="3" t="s">
        <v>100</v>
      </c>
    </row>
    <row r="89" customFormat="false" ht="15" hidden="false" customHeight="false" outlineLevel="0" collapsed="false">
      <c r="B89" s="10" t="n">
        <v>45068</v>
      </c>
      <c r="C89" s="1" t="s">
        <v>119</v>
      </c>
      <c r="D89" s="26" t="n">
        <v>26635</v>
      </c>
      <c r="E89" s="3" t="n">
        <v>1000299299</v>
      </c>
      <c r="F89" s="2" t="s">
        <v>313</v>
      </c>
      <c r="G89" s="3" t="s">
        <v>335</v>
      </c>
      <c r="H89" s="3" t="s">
        <v>336</v>
      </c>
      <c r="K89" s="1" t="s">
        <v>49</v>
      </c>
      <c r="N89" s="3" t="s">
        <v>105</v>
      </c>
    </row>
    <row r="90" customFormat="false" ht="15" hidden="false" customHeight="false" outlineLevel="0" collapsed="false">
      <c r="B90" s="10" t="n">
        <v>45069</v>
      </c>
      <c r="C90" s="1" t="s">
        <v>119</v>
      </c>
      <c r="D90" s="26" t="n">
        <v>26635</v>
      </c>
      <c r="E90" s="3" t="n">
        <v>1000299299</v>
      </c>
      <c r="F90" s="2" t="s">
        <v>337</v>
      </c>
      <c r="G90" s="3" t="s">
        <v>338</v>
      </c>
      <c r="H90" s="3" t="s">
        <v>339</v>
      </c>
      <c r="K90" s="1" t="s">
        <v>49</v>
      </c>
      <c r="N90" s="3" t="s">
        <v>105</v>
      </c>
    </row>
    <row r="91" customFormat="false" ht="15" hidden="false" customHeight="false" outlineLevel="0" collapsed="false">
      <c r="A91" s="1" t="s">
        <v>14</v>
      </c>
      <c r="B91" s="10" t="n">
        <v>45069</v>
      </c>
      <c r="C91" s="1" t="s">
        <v>340</v>
      </c>
      <c r="D91" s="10" t="n">
        <v>39279</v>
      </c>
      <c r="E91" s="1" t="n">
        <v>1008508665</v>
      </c>
      <c r="F91" s="2" t="s">
        <v>341</v>
      </c>
      <c r="G91" s="3" t="s">
        <v>342</v>
      </c>
      <c r="H91" s="3" t="s">
        <v>343</v>
      </c>
      <c r="K91" s="1" t="s">
        <v>49</v>
      </c>
      <c r="N91" s="3" t="s">
        <v>105</v>
      </c>
    </row>
    <row r="92" customFormat="false" ht="15" hidden="false" customHeight="false" outlineLevel="0" collapsed="false">
      <c r="A92" s="1" t="s">
        <v>14</v>
      </c>
      <c r="B92" s="10" t="n">
        <v>45069</v>
      </c>
      <c r="C92" s="1" t="s">
        <v>344</v>
      </c>
      <c r="D92" s="10" t="n">
        <v>38183</v>
      </c>
      <c r="E92" s="1" t="n">
        <v>1401239791</v>
      </c>
      <c r="F92" s="2" t="s">
        <v>345</v>
      </c>
      <c r="G92" s="3" t="s">
        <v>346</v>
      </c>
      <c r="H92" s="3" t="s">
        <v>347</v>
      </c>
      <c r="K92" s="1" t="s">
        <v>99</v>
      </c>
      <c r="N92" s="3" t="s">
        <v>105</v>
      </c>
    </row>
    <row r="93" customFormat="false" ht="15" hidden="false" customHeight="false" outlineLevel="0" collapsed="false">
      <c r="A93" s="1" t="s">
        <v>14</v>
      </c>
      <c r="B93" s="10" t="n">
        <v>45069</v>
      </c>
      <c r="C93" s="1" t="s">
        <v>348</v>
      </c>
      <c r="D93" s="10" t="n">
        <v>39500</v>
      </c>
      <c r="E93" s="1" t="n">
        <v>1011109716</v>
      </c>
      <c r="F93" s="2" t="s">
        <v>349</v>
      </c>
      <c r="G93" s="3" t="s">
        <v>350</v>
      </c>
      <c r="H93" s="3" t="s">
        <v>351</v>
      </c>
      <c r="K93" s="1" t="s">
        <v>49</v>
      </c>
      <c r="N93" s="3" t="s">
        <v>105</v>
      </c>
    </row>
    <row r="94" customFormat="false" ht="15" hidden="false" customHeight="false" outlineLevel="0" collapsed="false">
      <c r="A94" s="1" t="s">
        <v>14</v>
      </c>
      <c r="B94" s="10" t="n">
        <v>45070</v>
      </c>
      <c r="C94" s="1" t="s">
        <v>352</v>
      </c>
      <c r="D94" s="10" t="n">
        <v>39456</v>
      </c>
      <c r="E94" s="1" t="n">
        <v>1008550250</v>
      </c>
      <c r="F94" s="2" t="s">
        <v>178</v>
      </c>
      <c r="G94" s="3" t="s">
        <v>353</v>
      </c>
      <c r="H94" s="3" t="s">
        <v>354</v>
      </c>
      <c r="K94" s="1" t="s">
        <v>49</v>
      </c>
      <c r="N94" s="3" t="s">
        <v>105</v>
      </c>
    </row>
    <row r="95" customFormat="false" ht="15" hidden="false" customHeight="false" outlineLevel="0" collapsed="false">
      <c r="A95" s="1" t="s">
        <v>14</v>
      </c>
      <c r="B95" s="10" t="n">
        <v>45071</v>
      </c>
      <c r="C95" s="1" t="s">
        <v>355</v>
      </c>
      <c r="D95" s="10" t="n">
        <v>38640</v>
      </c>
      <c r="E95" s="1" t="n">
        <v>1201301817</v>
      </c>
      <c r="F95" s="2" t="s">
        <v>356</v>
      </c>
      <c r="G95" s="3" t="s">
        <v>357</v>
      </c>
      <c r="H95" s="3" t="s">
        <v>358</v>
      </c>
      <c r="K95" s="1" t="s">
        <v>49</v>
      </c>
      <c r="N95" s="3" t="s">
        <v>105</v>
      </c>
    </row>
    <row r="96" customFormat="false" ht="15" hidden="false" customHeight="false" outlineLevel="0" collapsed="false">
      <c r="A96" s="1" t="s">
        <v>62</v>
      </c>
      <c r="B96" s="10" t="n">
        <v>45076</v>
      </c>
      <c r="C96" s="1" t="s">
        <v>359</v>
      </c>
      <c r="D96" s="10" t="n">
        <v>44987</v>
      </c>
      <c r="E96" s="1" t="n">
        <v>1401130616</v>
      </c>
      <c r="F96" s="2" t="s">
        <v>360</v>
      </c>
      <c r="G96" s="3" t="s">
        <v>361</v>
      </c>
      <c r="H96" s="3" t="s">
        <v>362</v>
      </c>
      <c r="K96" s="1" t="s">
        <v>49</v>
      </c>
      <c r="N96" s="3" t="s">
        <v>105</v>
      </c>
    </row>
    <row r="97" customFormat="false" ht="15" hidden="false" customHeight="false" outlineLevel="0" collapsed="false">
      <c r="A97" s="1" t="s">
        <v>14</v>
      </c>
      <c r="B97" s="10" t="n">
        <v>45078</v>
      </c>
      <c r="C97" s="1" t="s">
        <v>363</v>
      </c>
      <c r="D97" s="10" t="n">
        <v>38736</v>
      </c>
      <c r="E97" s="1" t="n">
        <v>1102506734</v>
      </c>
      <c r="F97" s="2" t="s">
        <v>364</v>
      </c>
      <c r="G97" s="3" t="s">
        <v>365</v>
      </c>
      <c r="H97" s="3" t="s">
        <v>366</v>
      </c>
      <c r="K97" s="1" t="s">
        <v>99</v>
      </c>
      <c r="N97" s="3" t="s">
        <v>217</v>
      </c>
    </row>
    <row r="98" customFormat="false" ht="39.5" hidden="false" customHeight="false" outlineLevel="0" collapsed="false">
      <c r="A98" s="1" t="s">
        <v>14</v>
      </c>
      <c r="B98" s="10" t="n">
        <v>45078</v>
      </c>
      <c r="C98" s="1" t="s">
        <v>367</v>
      </c>
      <c r="D98" s="10" t="n">
        <v>34412</v>
      </c>
      <c r="E98" s="1" t="n">
        <v>1401249635</v>
      </c>
      <c r="F98" s="2" t="s">
        <v>368</v>
      </c>
      <c r="G98" s="3" t="s">
        <v>369</v>
      </c>
      <c r="H98" s="3" t="s">
        <v>370</v>
      </c>
      <c r="K98" s="1" t="s">
        <v>99</v>
      </c>
      <c r="N98" s="3" t="s">
        <v>217</v>
      </c>
    </row>
    <row r="99" customFormat="false" ht="27" hidden="false" customHeight="false" outlineLevel="0" collapsed="false">
      <c r="A99" s="1" t="s">
        <v>62</v>
      </c>
      <c r="B99" s="10" t="n">
        <v>45078</v>
      </c>
      <c r="C99" s="1" t="s">
        <v>371</v>
      </c>
      <c r="D99" s="10" t="n">
        <v>33298</v>
      </c>
      <c r="E99" s="1" t="n">
        <v>1401250379</v>
      </c>
      <c r="F99" s="2" t="s">
        <v>372</v>
      </c>
      <c r="G99" s="3" t="s">
        <v>373</v>
      </c>
      <c r="H99" s="3" t="s">
        <v>374</v>
      </c>
      <c r="K99" s="1" t="s">
        <v>99</v>
      </c>
      <c r="N99" s="3" t="s">
        <v>217</v>
      </c>
    </row>
    <row r="100" customFormat="false" ht="15" hidden="false" customHeight="false" outlineLevel="0" collapsed="false">
      <c r="A100" s="1" t="s">
        <v>14</v>
      </c>
      <c r="B100" s="10" t="n">
        <v>45078</v>
      </c>
      <c r="C100" s="1" t="s">
        <v>375</v>
      </c>
      <c r="D100" s="10" t="n">
        <v>37528</v>
      </c>
      <c r="E100" s="1" t="n">
        <v>1401250968</v>
      </c>
      <c r="F100" s="2" t="s">
        <v>376</v>
      </c>
      <c r="G100" s="3" t="s">
        <v>377</v>
      </c>
      <c r="H100" s="3" t="s">
        <v>378</v>
      </c>
      <c r="K100" s="1" t="s">
        <v>49</v>
      </c>
      <c r="N100" s="3" t="s">
        <v>217</v>
      </c>
    </row>
    <row r="101" customFormat="false" ht="27" hidden="false" customHeight="false" outlineLevel="0" collapsed="false">
      <c r="A101" s="1" t="s">
        <v>14</v>
      </c>
      <c r="B101" s="10" t="n">
        <v>45079</v>
      </c>
      <c r="C101" s="1" t="s">
        <v>379</v>
      </c>
      <c r="D101" s="10" t="n">
        <v>40430</v>
      </c>
      <c r="E101" s="1" t="n">
        <v>1009826465</v>
      </c>
      <c r="F101" s="2" t="s">
        <v>380</v>
      </c>
      <c r="G101" s="3" t="s">
        <v>381</v>
      </c>
      <c r="H101" s="3" t="s">
        <v>382</v>
      </c>
      <c r="K101" s="1" t="s">
        <v>49</v>
      </c>
      <c r="N101" s="3" t="s">
        <v>217</v>
      </c>
    </row>
    <row r="102" customFormat="false" ht="15" hidden="false" customHeight="false" outlineLevel="0" collapsed="false">
      <c r="A102" s="1" t="s">
        <v>14</v>
      </c>
      <c r="B102" s="10" t="n">
        <v>45079</v>
      </c>
      <c r="C102" s="1" t="s">
        <v>383</v>
      </c>
      <c r="D102" s="10" t="n">
        <v>38945</v>
      </c>
      <c r="E102" s="1" t="n">
        <v>1401251362</v>
      </c>
      <c r="F102" s="2" t="s">
        <v>211</v>
      </c>
      <c r="G102" s="3" t="s">
        <v>384</v>
      </c>
      <c r="H102" s="3" t="s">
        <v>385</v>
      </c>
      <c r="K102" s="1" t="s">
        <v>49</v>
      </c>
      <c r="N102" s="3" t="s">
        <v>217</v>
      </c>
    </row>
    <row r="103" customFormat="false" ht="39.5" hidden="false" customHeight="false" outlineLevel="0" collapsed="false">
      <c r="A103" s="1" t="s">
        <v>62</v>
      </c>
      <c r="B103" s="10" t="n">
        <v>45079</v>
      </c>
      <c r="C103" s="1" t="s">
        <v>386</v>
      </c>
      <c r="D103" s="10" t="n">
        <v>11908</v>
      </c>
      <c r="E103" s="1" t="n">
        <v>1010239147</v>
      </c>
      <c r="F103" s="2" t="s">
        <v>136</v>
      </c>
      <c r="G103" s="3" t="s">
        <v>136</v>
      </c>
      <c r="H103" s="3" t="s">
        <v>136</v>
      </c>
      <c r="I103" s="3" t="s">
        <v>136</v>
      </c>
      <c r="K103" s="1" t="s">
        <v>49</v>
      </c>
      <c r="L103" s="17" t="s">
        <v>387</v>
      </c>
      <c r="M103" s="3" t="s">
        <v>138</v>
      </c>
      <c r="N103" s="3" t="s">
        <v>100</v>
      </c>
    </row>
    <row r="104" customFormat="false" ht="15" hidden="false" customHeight="false" outlineLevel="0" collapsed="false">
      <c r="A104" s="1" t="s">
        <v>14</v>
      </c>
      <c r="B104" s="10" t="n">
        <v>45079</v>
      </c>
      <c r="C104" s="1" t="s">
        <v>388</v>
      </c>
      <c r="D104" s="10" t="n">
        <v>33669</v>
      </c>
      <c r="E104" s="1" t="n">
        <v>1000024972</v>
      </c>
      <c r="F104" s="2" t="s">
        <v>389</v>
      </c>
      <c r="G104" s="3" t="s">
        <v>390</v>
      </c>
      <c r="H104" s="3" t="s">
        <v>391</v>
      </c>
      <c r="K104" s="1" t="s">
        <v>99</v>
      </c>
      <c r="N104" s="3" t="s">
        <v>105</v>
      </c>
    </row>
    <row r="105" customFormat="false" ht="39.5" hidden="false" customHeight="false" outlineLevel="0" collapsed="false">
      <c r="A105" s="1" t="s">
        <v>62</v>
      </c>
      <c r="B105" s="10" t="n">
        <v>45081</v>
      </c>
      <c r="C105" s="1" t="s">
        <v>392</v>
      </c>
      <c r="D105" s="10" t="n">
        <v>28287</v>
      </c>
      <c r="E105" s="1" t="n">
        <v>1401253056</v>
      </c>
      <c r="F105" s="2" t="s">
        <v>393</v>
      </c>
      <c r="G105" s="3" t="s">
        <v>394</v>
      </c>
      <c r="H105" s="3" t="s">
        <v>395</v>
      </c>
      <c r="K105" s="1" t="s">
        <v>99</v>
      </c>
      <c r="N105" s="3" t="s">
        <v>100</v>
      </c>
    </row>
    <row r="106" customFormat="false" ht="39.5" hidden="false" customHeight="false" outlineLevel="0" collapsed="false">
      <c r="A106" s="1" t="s">
        <v>62</v>
      </c>
      <c r="B106" s="10" t="n">
        <v>45081</v>
      </c>
      <c r="C106" s="1" t="s">
        <v>396</v>
      </c>
      <c r="D106" s="10" t="n">
        <v>43418</v>
      </c>
      <c r="E106" s="1" t="n">
        <v>1401169458</v>
      </c>
      <c r="F106" s="2" t="s">
        <v>136</v>
      </c>
      <c r="G106" s="3" t="s">
        <v>136</v>
      </c>
      <c r="H106" s="3" t="s">
        <v>136</v>
      </c>
      <c r="K106" s="1" t="s">
        <v>49</v>
      </c>
      <c r="L106" s="17" t="s">
        <v>397</v>
      </c>
      <c r="M106" s="3" t="s">
        <v>138</v>
      </c>
      <c r="N106" s="3" t="s">
        <v>217</v>
      </c>
    </row>
    <row r="107" customFormat="false" ht="15" hidden="false" customHeight="false" outlineLevel="0" collapsed="false">
      <c r="A107" s="1" t="s">
        <v>14</v>
      </c>
      <c r="B107" s="10" t="n">
        <v>45083</v>
      </c>
      <c r="C107" s="1" t="s">
        <v>398</v>
      </c>
      <c r="D107" s="10" t="n">
        <v>20210</v>
      </c>
      <c r="E107" s="1" t="n">
        <v>1401255084</v>
      </c>
      <c r="F107" s="2" t="s">
        <v>399</v>
      </c>
      <c r="G107" s="3" t="s">
        <v>400</v>
      </c>
      <c r="H107" s="3" t="s">
        <v>401</v>
      </c>
      <c r="K107" s="1" t="s">
        <v>49</v>
      </c>
      <c r="N107" s="3" t="s">
        <v>217</v>
      </c>
    </row>
    <row r="108" customFormat="false" ht="15" hidden="false" customHeight="false" outlineLevel="0" collapsed="false">
      <c r="A108" s="1" t="s">
        <v>14</v>
      </c>
      <c r="B108" s="10" t="n">
        <v>45087</v>
      </c>
      <c r="C108" s="1" t="s">
        <v>402</v>
      </c>
      <c r="D108" s="10" t="n">
        <v>30959</v>
      </c>
      <c r="E108" s="1" t="n">
        <v>1401281866</v>
      </c>
      <c r="F108" s="2" t="s">
        <v>178</v>
      </c>
      <c r="G108" s="3" t="s">
        <v>403</v>
      </c>
      <c r="H108" s="3" t="s">
        <v>404</v>
      </c>
      <c r="K108" s="1" t="s">
        <v>49</v>
      </c>
      <c r="N108" s="3" t="s">
        <v>100</v>
      </c>
    </row>
    <row r="109" customFormat="false" ht="15" hidden="false" customHeight="true" outlineLevel="0" collapsed="false">
      <c r="A109" s="18" t="s">
        <v>14</v>
      </c>
      <c r="B109" s="10" t="n">
        <v>45087</v>
      </c>
      <c r="C109" s="1" t="s">
        <v>405</v>
      </c>
      <c r="D109" s="26" t="n">
        <v>31936</v>
      </c>
      <c r="E109" s="3" t="n">
        <v>1005149298</v>
      </c>
      <c r="F109" s="27" t="s">
        <v>406</v>
      </c>
      <c r="G109" s="18" t="s">
        <v>407</v>
      </c>
      <c r="H109" s="18" t="s">
        <v>408</v>
      </c>
      <c r="K109" s="18" t="s">
        <v>99</v>
      </c>
      <c r="N109" s="3" t="s">
        <v>100</v>
      </c>
    </row>
    <row r="110" customFormat="false" ht="15" hidden="false" customHeight="false" outlineLevel="0" collapsed="false">
      <c r="A110" s="18"/>
      <c r="B110" s="10" t="n">
        <v>45087</v>
      </c>
      <c r="C110" s="1" t="s">
        <v>405</v>
      </c>
      <c r="D110" s="26" t="n">
        <v>31936</v>
      </c>
      <c r="E110" s="3" t="n">
        <v>1005149298</v>
      </c>
      <c r="F110" s="27"/>
      <c r="G110" s="18"/>
      <c r="H110" s="18"/>
      <c r="K110" s="18"/>
      <c r="N110" s="3" t="s">
        <v>100</v>
      </c>
    </row>
    <row r="111" customFormat="false" ht="15" hidden="false" customHeight="false" outlineLevel="0" collapsed="false">
      <c r="A111" s="18"/>
      <c r="B111" s="10" t="n">
        <v>45088</v>
      </c>
      <c r="C111" s="1" t="s">
        <v>405</v>
      </c>
      <c r="D111" s="26" t="n">
        <v>31936</v>
      </c>
      <c r="E111" s="3" t="n">
        <v>1005149298</v>
      </c>
      <c r="F111" s="27"/>
      <c r="G111" s="18"/>
      <c r="H111" s="18"/>
      <c r="K111" s="18"/>
      <c r="N111" s="3" t="s">
        <v>100</v>
      </c>
    </row>
    <row r="112" customFormat="false" ht="27" hidden="false" customHeight="false" outlineLevel="0" collapsed="false">
      <c r="A112" s="1" t="s">
        <v>62</v>
      </c>
      <c r="B112" s="10" t="n">
        <v>45087</v>
      </c>
      <c r="C112" s="1" t="s">
        <v>409</v>
      </c>
      <c r="D112" s="10" t="n">
        <v>30596</v>
      </c>
      <c r="E112" s="1" t="n">
        <v>1100314856</v>
      </c>
      <c r="F112" s="2" t="s">
        <v>410</v>
      </c>
      <c r="G112" s="3" t="s">
        <v>411</v>
      </c>
      <c r="H112" s="3" t="s">
        <v>412</v>
      </c>
      <c r="K112" s="1" t="s">
        <v>49</v>
      </c>
      <c r="N112" s="3" t="s">
        <v>100</v>
      </c>
    </row>
    <row r="113" customFormat="false" ht="27" hidden="false" customHeight="false" outlineLevel="0" collapsed="false">
      <c r="A113" s="1" t="s">
        <v>14</v>
      </c>
      <c r="B113" s="10" t="n">
        <v>45089</v>
      </c>
      <c r="C113" s="1" t="s">
        <v>413</v>
      </c>
      <c r="D113" s="10" t="n">
        <v>40515</v>
      </c>
      <c r="E113" s="1" t="n">
        <v>1203506199</v>
      </c>
      <c r="F113" s="2" t="s">
        <v>414</v>
      </c>
      <c r="G113" s="3" t="s">
        <v>415</v>
      </c>
      <c r="H113" s="3" t="s">
        <v>416</v>
      </c>
      <c r="K113" s="1" t="s">
        <v>49</v>
      </c>
      <c r="N113" s="3" t="s">
        <v>100</v>
      </c>
    </row>
    <row r="114" customFormat="false" ht="27" hidden="false" customHeight="false" outlineLevel="0" collapsed="false">
      <c r="A114" s="1" t="s">
        <v>62</v>
      </c>
      <c r="B114" s="10" t="n">
        <v>45089</v>
      </c>
      <c r="C114" s="1" t="s">
        <v>417</v>
      </c>
      <c r="D114" s="10" t="n">
        <v>43708</v>
      </c>
      <c r="E114" s="1" t="n">
        <v>1401072687</v>
      </c>
      <c r="F114" s="2" t="s">
        <v>418</v>
      </c>
      <c r="G114" s="3" t="s">
        <v>419</v>
      </c>
      <c r="H114" s="3" t="s">
        <v>420</v>
      </c>
      <c r="K114" s="1" t="s">
        <v>49</v>
      </c>
      <c r="N114" s="3" t="s">
        <v>100</v>
      </c>
    </row>
    <row r="115" customFormat="false" ht="27" hidden="false" customHeight="false" outlineLevel="0" collapsed="false">
      <c r="A115" s="1" t="s">
        <v>62</v>
      </c>
      <c r="B115" s="10" t="n">
        <v>45089</v>
      </c>
      <c r="C115" s="1" t="s">
        <v>421</v>
      </c>
      <c r="D115" s="10" t="n">
        <v>44362</v>
      </c>
      <c r="E115" s="1" t="n">
        <v>1401284164</v>
      </c>
      <c r="F115" s="2" t="s">
        <v>418</v>
      </c>
      <c r="G115" s="3" t="s">
        <v>422</v>
      </c>
      <c r="H115" s="3" t="s">
        <v>423</v>
      </c>
      <c r="K115" s="1" t="s">
        <v>49</v>
      </c>
      <c r="N115" s="3" t="s">
        <v>100</v>
      </c>
    </row>
    <row r="116" customFormat="false" ht="15" hidden="false" customHeight="false" outlineLevel="0" collapsed="false">
      <c r="A116" s="1" t="s">
        <v>62</v>
      </c>
      <c r="B116" s="10" t="n">
        <v>45089</v>
      </c>
      <c r="C116" s="1" t="s">
        <v>424</v>
      </c>
      <c r="D116" s="10" t="n">
        <v>43248</v>
      </c>
      <c r="E116" s="1" t="n">
        <v>1200566878</v>
      </c>
      <c r="F116" s="2" t="s">
        <v>425</v>
      </c>
      <c r="G116" s="3" t="s">
        <v>426</v>
      </c>
      <c r="H116" s="3" t="s">
        <v>427</v>
      </c>
      <c r="K116" s="1" t="s">
        <v>49</v>
      </c>
      <c r="N116" s="3" t="s">
        <v>100</v>
      </c>
    </row>
    <row r="117" customFormat="false" ht="15" hidden="false" customHeight="false" outlineLevel="0" collapsed="false">
      <c r="A117" s="1" t="s">
        <v>62</v>
      </c>
      <c r="B117" s="10" t="n">
        <v>45090</v>
      </c>
      <c r="C117" s="1" t="s">
        <v>428</v>
      </c>
      <c r="D117" s="10" t="n">
        <v>29513</v>
      </c>
      <c r="E117" s="1" t="n">
        <v>1401284906</v>
      </c>
      <c r="F117" s="2" t="s">
        <v>136</v>
      </c>
      <c r="G117" s="3" t="s">
        <v>136</v>
      </c>
      <c r="H117" s="3" t="s">
        <v>136</v>
      </c>
      <c r="K117" s="1" t="s">
        <v>49</v>
      </c>
      <c r="L117" s="1" t="s">
        <v>429</v>
      </c>
      <c r="N117" s="3" t="s">
        <v>100</v>
      </c>
    </row>
    <row r="118" customFormat="false" ht="64.5" hidden="false" customHeight="false" outlineLevel="0" collapsed="false">
      <c r="A118" s="1" t="s">
        <v>14</v>
      </c>
      <c r="B118" s="10" t="n">
        <v>45090</v>
      </c>
      <c r="C118" s="1" t="s">
        <v>430</v>
      </c>
      <c r="D118" s="10" t="n">
        <v>18744</v>
      </c>
      <c r="E118" s="1" t="n">
        <v>1002234563</v>
      </c>
      <c r="F118" s="2" t="s">
        <v>431</v>
      </c>
      <c r="N118" s="3" t="s">
        <v>100</v>
      </c>
    </row>
    <row r="119" customFormat="false" ht="15" hidden="false" customHeight="false" outlineLevel="0" collapsed="false">
      <c r="A119" s="1" t="s">
        <v>62</v>
      </c>
      <c r="B119" s="10" t="n">
        <v>45091</v>
      </c>
      <c r="C119" s="1" t="s">
        <v>432</v>
      </c>
      <c r="D119" s="10" t="n">
        <v>24793</v>
      </c>
      <c r="E119" s="1" t="n">
        <v>1005311051</v>
      </c>
      <c r="L119" s="1" t="s">
        <v>433</v>
      </c>
      <c r="N119" s="3" t="s">
        <v>100</v>
      </c>
    </row>
    <row r="120" customFormat="false" ht="27" hidden="false" customHeight="false" outlineLevel="0" collapsed="false">
      <c r="A120" s="1" t="s">
        <v>14</v>
      </c>
      <c r="B120" s="10" t="n">
        <v>45093</v>
      </c>
      <c r="C120" s="1" t="s">
        <v>434</v>
      </c>
      <c r="D120" s="10" t="n">
        <v>35167</v>
      </c>
      <c r="E120" s="1" t="n">
        <v>1004993792</v>
      </c>
      <c r="F120" s="2" t="s">
        <v>435</v>
      </c>
      <c r="N120" s="3" t="s">
        <v>100</v>
      </c>
    </row>
    <row r="121" customFormat="false" ht="27" hidden="false" customHeight="false" outlineLevel="0" collapsed="false">
      <c r="A121" s="1" t="s">
        <v>14</v>
      </c>
      <c r="B121" s="10" t="n">
        <v>45093</v>
      </c>
      <c r="C121" s="1" t="s">
        <v>436</v>
      </c>
      <c r="D121" s="10" t="n">
        <v>23351</v>
      </c>
      <c r="E121" s="1" t="n">
        <v>1002316006</v>
      </c>
      <c r="F121" s="2" t="s">
        <v>437</v>
      </c>
      <c r="N121" s="3" t="s">
        <v>100</v>
      </c>
    </row>
    <row r="122" customFormat="false" ht="77" hidden="false" customHeight="false" outlineLevel="0" collapsed="false">
      <c r="A122" s="1" t="s">
        <v>14</v>
      </c>
      <c r="B122" s="10" t="n">
        <v>45095</v>
      </c>
      <c r="C122" s="1" t="s">
        <v>438</v>
      </c>
      <c r="D122" s="10" t="n">
        <v>28487</v>
      </c>
      <c r="E122" s="1" t="n">
        <v>1200230428</v>
      </c>
      <c r="F122" s="2" t="s">
        <v>439</v>
      </c>
      <c r="N122" s="3" t="s">
        <v>217</v>
      </c>
    </row>
    <row r="123" customFormat="false" ht="15" hidden="false" customHeight="false" outlineLevel="0" collapsed="false">
      <c r="A123" s="1" t="s">
        <v>62</v>
      </c>
      <c r="B123" s="10" t="n">
        <v>45095</v>
      </c>
      <c r="C123" s="1" t="s">
        <v>440</v>
      </c>
      <c r="D123" s="10" t="n">
        <v>20788</v>
      </c>
      <c r="E123" s="1" t="n">
        <v>1401310687</v>
      </c>
      <c r="N123" s="3" t="s">
        <v>217</v>
      </c>
    </row>
    <row r="124" customFormat="false" ht="15" hidden="false" customHeight="false" outlineLevel="0" collapsed="false">
      <c r="A124" s="1" t="s">
        <v>62</v>
      </c>
      <c r="B124" s="10" t="n">
        <v>45096</v>
      </c>
      <c r="C124" s="1" t="s">
        <v>441</v>
      </c>
      <c r="D124" s="10" t="n">
        <v>14961</v>
      </c>
      <c r="E124" s="1" t="n">
        <v>1401310778</v>
      </c>
      <c r="N124" s="3" t="s">
        <v>217</v>
      </c>
    </row>
    <row r="125" customFormat="false" ht="15" hidden="false" customHeight="false" outlineLevel="0" collapsed="false">
      <c r="A125" s="1" t="s">
        <v>14</v>
      </c>
      <c r="B125" s="10" t="n">
        <v>45096</v>
      </c>
      <c r="C125" s="1" t="s">
        <v>442</v>
      </c>
      <c r="D125" s="10" t="n">
        <v>27848</v>
      </c>
      <c r="E125" s="1" t="n">
        <v>1401311288</v>
      </c>
      <c r="N125" s="3" t="s">
        <v>217</v>
      </c>
    </row>
    <row r="126" customFormat="false" ht="15" hidden="false" customHeight="false" outlineLevel="0" collapsed="false">
      <c r="A126" s="1" t="s">
        <v>62</v>
      </c>
      <c r="B126" s="10" t="n">
        <v>45097</v>
      </c>
      <c r="C126" s="1" t="s">
        <v>443</v>
      </c>
      <c r="D126" s="10" t="n">
        <v>18975</v>
      </c>
      <c r="E126" s="1" t="n">
        <v>1401311855</v>
      </c>
      <c r="N126" s="3" t="s">
        <v>217</v>
      </c>
    </row>
    <row r="127" customFormat="false" ht="15" hidden="false" customHeight="false" outlineLevel="0" collapsed="false">
      <c r="A127" s="1" t="s">
        <v>14</v>
      </c>
      <c r="B127" s="10" t="n">
        <v>45097</v>
      </c>
      <c r="C127" s="1" t="s">
        <v>444</v>
      </c>
      <c r="D127" s="10" t="n">
        <v>15681</v>
      </c>
      <c r="E127" s="1" t="n">
        <v>1400105541</v>
      </c>
      <c r="N127" s="3" t="s">
        <v>100</v>
      </c>
    </row>
    <row r="128" customFormat="false" ht="15" hidden="false" customHeight="false" outlineLevel="0" collapsed="false">
      <c r="A128" s="1" t="s">
        <v>62</v>
      </c>
      <c r="B128" s="10" t="n">
        <v>45097</v>
      </c>
      <c r="C128" s="1" t="s">
        <v>445</v>
      </c>
      <c r="D128" s="10" t="n">
        <v>11943</v>
      </c>
      <c r="E128" s="1" t="n">
        <v>1000699307</v>
      </c>
      <c r="N128" s="3" t="s">
        <v>217</v>
      </c>
    </row>
    <row r="129" customFormat="false" ht="15" hidden="false" customHeight="false" outlineLevel="0" collapsed="false">
      <c r="A129" s="1" t="s">
        <v>62</v>
      </c>
      <c r="B129" s="10" t="n">
        <v>45098</v>
      </c>
      <c r="C129" s="1" t="s">
        <v>446</v>
      </c>
      <c r="D129" s="10" t="n">
        <v>34962</v>
      </c>
      <c r="E129" s="1" t="n">
        <v>1401314055</v>
      </c>
      <c r="N129" s="3" t="s">
        <v>217</v>
      </c>
    </row>
    <row r="130" customFormat="false" ht="15" hidden="false" customHeight="false" outlineLevel="0" collapsed="false">
      <c r="A130" s="1" t="s">
        <v>62</v>
      </c>
      <c r="B130" s="10" t="n">
        <v>45099</v>
      </c>
      <c r="C130" s="1" t="s">
        <v>447</v>
      </c>
      <c r="D130" s="10" t="n">
        <v>37507</v>
      </c>
      <c r="E130" s="1" t="n">
        <v>1401315953</v>
      </c>
      <c r="N130" s="3" t="s">
        <v>217</v>
      </c>
    </row>
    <row r="131" customFormat="false" ht="15" hidden="false" customHeight="false" outlineLevel="0" collapsed="false">
      <c r="A131" s="1" t="s">
        <v>14</v>
      </c>
      <c r="B131" s="10" t="n">
        <v>45099</v>
      </c>
      <c r="C131" s="1" t="s">
        <v>448</v>
      </c>
      <c r="D131" s="10" t="n">
        <v>29030</v>
      </c>
      <c r="E131" s="1" t="n">
        <v>1401316516</v>
      </c>
      <c r="N131" s="3" t="s">
        <v>217</v>
      </c>
    </row>
    <row r="132" customFormat="false" ht="15" hidden="false" customHeight="false" outlineLevel="0" collapsed="false">
      <c r="A132" s="18" t="s">
        <v>14</v>
      </c>
      <c r="B132" s="10" t="n">
        <v>45103</v>
      </c>
      <c r="C132" s="3" t="s">
        <v>449</v>
      </c>
      <c r="D132" s="26" t="n">
        <v>33905</v>
      </c>
      <c r="E132" s="3" t="n">
        <v>1101619038</v>
      </c>
      <c r="N132" s="18" t="s">
        <v>105</v>
      </c>
    </row>
    <row r="133" customFormat="false" ht="15" hidden="false" customHeight="false" outlineLevel="0" collapsed="false">
      <c r="A133" s="18"/>
      <c r="B133" s="10" t="n">
        <v>45104</v>
      </c>
      <c r="C133" s="3" t="s">
        <v>449</v>
      </c>
      <c r="D133" s="26" t="n">
        <v>33905</v>
      </c>
      <c r="E133" s="3" t="n">
        <v>1101619038</v>
      </c>
      <c r="N133" s="18"/>
    </row>
    <row r="134" customFormat="false" ht="15" hidden="false" customHeight="false" outlineLevel="0" collapsed="false">
      <c r="A134" s="18"/>
      <c r="B134" s="10" t="n">
        <v>45105</v>
      </c>
      <c r="C134" s="3" t="s">
        <v>449</v>
      </c>
      <c r="D134" s="26" t="n">
        <v>33905</v>
      </c>
      <c r="E134" s="3" t="n">
        <v>1101619038</v>
      </c>
      <c r="N134" s="18"/>
    </row>
    <row r="135" customFormat="false" ht="15" hidden="false" customHeight="false" outlineLevel="0" collapsed="false">
      <c r="A135" s="1" t="s">
        <v>62</v>
      </c>
      <c r="B135" s="10" t="n">
        <v>45103</v>
      </c>
      <c r="C135" s="1" t="s">
        <v>450</v>
      </c>
      <c r="D135" s="10" t="n">
        <v>27807</v>
      </c>
      <c r="E135" s="1" t="n">
        <v>1010264021</v>
      </c>
      <c r="N135" s="3" t="s">
        <v>105</v>
      </c>
    </row>
    <row r="136" customFormat="false" ht="15" hidden="false" customHeight="false" outlineLevel="0" collapsed="false">
      <c r="A136" s="18" t="s">
        <v>14</v>
      </c>
      <c r="B136" s="10" t="n">
        <v>45103</v>
      </c>
      <c r="C136" s="1" t="s">
        <v>451</v>
      </c>
      <c r="D136" s="26" t="n">
        <v>16674</v>
      </c>
      <c r="E136" s="3" t="n">
        <v>1009612218</v>
      </c>
      <c r="N136" s="18" t="s">
        <v>217</v>
      </c>
    </row>
    <row r="137" customFormat="false" ht="15" hidden="false" customHeight="false" outlineLevel="0" collapsed="false">
      <c r="A137" s="18"/>
      <c r="B137" s="10" t="n">
        <v>45104</v>
      </c>
      <c r="C137" s="1" t="s">
        <v>451</v>
      </c>
      <c r="D137" s="26" t="n">
        <v>16674</v>
      </c>
      <c r="E137" s="3" t="n">
        <v>1009612218</v>
      </c>
      <c r="N137" s="18"/>
    </row>
    <row r="138" customFormat="false" ht="15" hidden="false" customHeight="false" outlineLevel="0" collapsed="false">
      <c r="A138" s="18"/>
      <c r="B138" s="10" t="n">
        <v>45105</v>
      </c>
      <c r="C138" s="1" t="s">
        <v>451</v>
      </c>
      <c r="D138" s="26" t="n">
        <v>16674</v>
      </c>
      <c r="E138" s="3" t="n">
        <v>1009612218</v>
      </c>
      <c r="N138" s="18"/>
    </row>
    <row r="139" customFormat="false" ht="15" hidden="false" customHeight="false" outlineLevel="0" collapsed="false">
      <c r="A139" s="1" t="s">
        <v>62</v>
      </c>
      <c r="B139" s="10" t="n">
        <v>45104</v>
      </c>
      <c r="C139" s="1" t="s">
        <v>452</v>
      </c>
      <c r="D139" s="10" t="n">
        <v>13563</v>
      </c>
      <c r="E139" s="1" t="n">
        <v>1401243118</v>
      </c>
      <c r="N139" s="3" t="s">
        <v>217</v>
      </c>
    </row>
    <row r="140" customFormat="false" ht="15" hidden="false" customHeight="false" outlineLevel="0" collapsed="false">
      <c r="A140" s="1" t="s">
        <v>14</v>
      </c>
      <c r="B140" s="10" t="n">
        <v>45107</v>
      </c>
      <c r="C140" s="1" t="s">
        <v>453</v>
      </c>
      <c r="D140" s="10" t="n">
        <v>34469</v>
      </c>
      <c r="E140" s="1" t="n">
        <v>1009368877</v>
      </c>
      <c r="N140" s="3" t="s">
        <v>100</v>
      </c>
    </row>
    <row r="141" customFormat="false" ht="15" hidden="false" customHeight="false" outlineLevel="0" collapsed="false">
      <c r="A141" s="18" t="s">
        <v>14</v>
      </c>
      <c r="B141" s="10" t="n">
        <v>45107</v>
      </c>
      <c r="C141" s="1" t="s">
        <v>454</v>
      </c>
      <c r="D141" s="26" t="n">
        <v>35958</v>
      </c>
      <c r="E141" s="3" t="n">
        <v>1401325082</v>
      </c>
      <c r="N141" s="3" t="s">
        <v>100</v>
      </c>
    </row>
    <row r="142" customFormat="false" ht="15" hidden="false" customHeight="false" outlineLevel="0" collapsed="false">
      <c r="A142" s="18"/>
      <c r="B142" s="10" t="n">
        <v>45108</v>
      </c>
      <c r="C142" s="1" t="s">
        <v>454</v>
      </c>
      <c r="D142" s="26" t="n">
        <v>35958</v>
      </c>
      <c r="E142" s="3" t="n">
        <v>1401325082</v>
      </c>
      <c r="N142" s="3" t="s">
        <v>100</v>
      </c>
    </row>
    <row r="143" customFormat="false" ht="15" hidden="false" customHeight="false" outlineLevel="0" collapsed="false">
      <c r="A143" s="1" t="s">
        <v>62</v>
      </c>
      <c r="B143" s="10" t="n">
        <v>45107</v>
      </c>
      <c r="C143" s="1" t="s">
        <v>455</v>
      </c>
      <c r="D143" s="10" t="n">
        <v>16233</v>
      </c>
      <c r="E143" s="1" t="n">
        <v>1000385832</v>
      </c>
      <c r="N143" s="3" t="s">
        <v>100</v>
      </c>
    </row>
    <row r="144" customFormat="false" ht="15" hidden="false" customHeight="false" outlineLevel="0" collapsed="false">
      <c r="A144" s="1" t="s">
        <v>14</v>
      </c>
      <c r="B144" s="10" t="n">
        <v>45107</v>
      </c>
      <c r="C144" s="1" t="s">
        <v>413</v>
      </c>
      <c r="D144" s="10" t="n">
        <v>40515</v>
      </c>
      <c r="E144" s="1" t="n">
        <v>1203506199</v>
      </c>
      <c r="N144" s="3" t="s">
        <v>100</v>
      </c>
    </row>
    <row r="145" customFormat="false" ht="15" hidden="false" customHeight="false" outlineLevel="0" collapsed="false">
      <c r="A145" s="1" t="s">
        <v>14</v>
      </c>
      <c r="B145" s="10" t="n">
        <v>45112</v>
      </c>
      <c r="C145" s="1" t="s">
        <v>456</v>
      </c>
      <c r="D145" s="10" t="n">
        <v>39088</v>
      </c>
      <c r="E145" s="1" t="n">
        <v>1400041383</v>
      </c>
      <c r="N145" s="3" t="s">
        <v>217</v>
      </c>
    </row>
    <row r="146" customFormat="false" ht="15" hidden="false" customHeight="false" outlineLevel="0" collapsed="false">
      <c r="A146" s="1" t="s">
        <v>14</v>
      </c>
      <c r="B146" s="10" t="n">
        <v>45114</v>
      </c>
      <c r="C146" s="1" t="s">
        <v>457</v>
      </c>
      <c r="D146" s="10" t="n">
        <v>40247</v>
      </c>
      <c r="E146" s="1" t="n">
        <v>1401332618</v>
      </c>
    </row>
    <row r="147" customFormat="false" ht="39.5" hidden="false" customHeight="false" outlineLevel="0" collapsed="false">
      <c r="A147" s="1" t="s">
        <v>62</v>
      </c>
      <c r="B147" s="10" t="n">
        <v>45114</v>
      </c>
      <c r="C147" s="1" t="s">
        <v>458</v>
      </c>
      <c r="D147" s="10" t="n">
        <v>17437</v>
      </c>
      <c r="E147" s="1" t="n">
        <v>1003915547</v>
      </c>
      <c r="F147" s="2" t="s">
        <v>136</v>
      </c>
      <c r="G147" s="3" t="s">
        <v>136</v>
      </c>
      <c r="H147" s="3" t="s">
        <v>136</v>
      </c>
      <c r="I147" s="3" t="s">
        <v>136</v>
      </c>
      <c r="K147" s="1" t="s">
        <v>49</v>
      </c>
      <c r="L147" s="17" t="s">
        <v>459</v>
      </c>
      <c r="M147" s="3" t="s">
        <v>138</v>
      </c>
    </row>
    <row r="148" customFormat="false" ht="15" hidden="false" customHeight="false" outlineLevel="0" collapsed="false">
      <c r="A148" s="1" t="s">
        <v>62</v>
      </c>
      <c r="B148" s="10" t="n">
        <v>45118</v>
      </c>
      <c r="C148" s="1" t="s">
        <v>460</v>
      </c>
      <c r="D148" s="10" t="n">
        <v>38294</v>
      </c>
      <c r="E148" s="1" t="n">
        <v>1400876192</v>
      </c>
    </row>
    <row r="149" customFormat="false" ht="15" hidden="false" customHeight="false" outlineLevel="0" collapsed="false">
      <c r="A149" s="1" t="s">
        <v>62</v>
      </c>
      <c r="B149" s="10" t="n">
        <v>45119</v>
      </c>
      <c r="C149" s="1" t="s">
        <v>461</v>
      </c>
      <c r="D149" s="10" t="n">
        <v>23523</v>
      </c>
      <c r="E149" s="1" t="n">
        <v>1400046102</v>
      </c>
    </row>
    <row r="150" customFormat="false" ht="15" hidden="false" customHeight="false" outlineLevel="0" collapsed="false">
      <c r="A150" s="1" t="s">
        <v>62</v>
      </c>
      <c r="B150" s="10" t="n">
        <v>45121</v>
      </c>
      <c r="C150" s="1" t="s">
        <v>462</v>
      </c>
      <c r="D150" s="10" t="n">
        <v>38254</v>
      </c>
      <c r="E150" s="1" t="n">
        <v>1007386085</v>
      </c>
    </row>
    <row r="151" customFormat="false" ht="15" hidden="false" customHeight="false" outlineLevel="0" collapsed="false">
      <c r="A151" s="1" t="s">
        <v>62</v>
      </c>
      <c r="B151" s="10" t="n">
        <v>45123</v>
      </c>
      <c r="C151" s="1" t="s">
        <v>463</v>
      </c>
      <c r="D151" s="10" t="n">
        <v>28562</v>
      </c>
      <c r="E151" s="1" t="n">
        <v>1010665882</v>
      </c>
    </row>
    <row r="152" customFormat="false" ht="15" hidden="false" customHeight="false" outlineLevel="0" collapsed="false">
      <c r="A152" s="1" t="s">
        <v>62</v>
      </c>
      <c r="B152" s="10" t="n">
        <v>45123</v>
      </c>
      <c r="C152" s="1" t="s">
        <v>464</v>
      </c>
      <c r="D152" s="10" t="n">
        <v>31744</v>
      </c>
      <c r="E152" s="1" t="n">
        <v>1006622407</v>
      </c>
    </row>
    <row r="153" customFormat="false" ht="15" hidden="false" customHeight="false" outlineLevel="0" collapsed="false">
      <c r="A153" s="1" t="s">
        <v>14</v>
      </c>
      <c r="B153" s="10" t="n">
        <v>45124</v>
      </c>
      <c r="C153" s="1" t="s">
        <v>465</v>
      </c>
      <c r="D153" s="10" t="n">
        <v>36166</v>
      </c>
      <c r="E153" s="1" t="n">
        <v>1003435007</v>
      </c>
    </row>
    <row r="154" customFormat="false" ht="15" hidden="false" customHeight="false" outlineLevel="0" collapsed="false">
      <c r="A154" s="1" t="s">
        <v>14</v>
      </c>
      <c r="B154" s="10" t="n">
        <v>45125</v>
      </c>
      <c r="C154" s="1" t="s">
        <v>466</v>
      </c>
      <c r="D154" s="10" t="n">
        <v>32835</v>
      </c>
      <c r="E154" s="1" t="n">
        <v>1400161166</v>
      </c>
    </row>
    <row r="155" customFormat="false" ht="15" hidden="false" customHeight="false" outlineLevel="0" collapsed="false">
      <c r="A155" s="1" t="s">
        <v>62</v>
      </c>
      <c r="B155" s="10" t="n">
        <v>45127</v>
      </c>
      <c r="C155" s="1" t="s">
        <v>467</v>
      </c>
      <c r="D155" s="10" t="n">
        <v>38251</v>
      </c>
      <c r="E155" s="1" t="n">
        <v>1007266659</v>
      </c>
    </row>
    <row r="156" customFormat="false" ht="15" hidden="false" customHeight="false" outlineLevel="0" collapsed="false">
      <c r="A156" s="1" t="s">
        <v>14</v>
      </c>
      <c r="B156" s="10" t="n">
        <v>45127</v>
      </c>
      <c r="C156" s="1" t="s">
        <v>468</v>
      </c>
      <c r="D156" s="10" t="n">
        <v>33459</v>
      </c>
      <c r="E156" s="1" t="n">
        <v>1007340188</v>
      </c>
    </row>
    <row r="157" customFormat="false" ht="15" hidden="false" customHeight="false" outlineLevel="0" collapsed="false">
      <c r="A157" s="1" t="s">
        <v>62</v>
      </c>
      <c r="B157" s="10" t="n">
        <v>45129</v>
      </c>
      <c r="C157" s="1" t="s">
        <v>469</v>
      </c>
      <c r="D157" s="10" t="n">
        <v>45008</v>
      </c>
      <c r="E157" s="1" t="n">
        <v>1401351547</v>
      </c>
    </row>
    <row r="158" customFormat="false" ht="15" hidden="false" customHeight="false" outlineLevel="0" collapsed="false">
      <c r="A158" s="1" t="s">
        <v>62</v>
      </c>
      <c r="B158" s="10" t="n">
        <v>45133</v>
      </c>
      <c r="C158" s="1" t="s">
        <v>470</v>
      </c>
      <c r="D158" s="10" t="n">
        <v>28201</v>
      </c>
      <c r="E158" s="1" t="n">
        <v>1400799581</v>
      </c>
    </row>
    <row r="159" customFormat="false" ht="15" hidden="false" customHeight="false" outlineLevel="0" collapsed="false">
      <c r="A159" s="1" t="s">
        <v>62</v>
      </c>
      <c r="B159" s="10" t="n">
        <v>45133</v>
      </c>
      <c r="C159" s="1" t="s">
        <v>471</v>
      </c>
      <c r="D159" s="10" t="n">
        <v>35957</v>
      </c>
      <c r="E159" s="1" t="n">
        <v>1401353684</v>
      </c>
    </row>
    <row r="160" customFormat="false" ht="39.5" hidden="false" customHeight="false" outlineLevel="0" collapsed="false">
      <c r="A160" s="1" t="s">
        <v>62</v>
      </c>
      <c r="B160" s="10" t="n">
        <v>45133</v>
      </c>
      <c r="C160" s="1" t="s">
        <v>472</v>
      </c>
      <c r="D160" s="10" t="n">
        <v>11444</v>
      </c>
      <c r="E160" s="1" t="n">
        <v>1005681840</v>
      </c>
      <c r="F160" s="2" t="s">
        <v>136</v>
      </c>
      <c r="G160" s="3" t="s">
        <v>136</v>
      </c>
      <c r="H160" s="3" t="s">
        <v>136</v>
      </c>
      <c r="I160" s="3" t="s">
        <v>136</v>
      </c>
      <c r="K160" s="1" t="s">
        <v>49</v>
      </c>
      <c r="L160" s="17" t="s">
        <v>473</v>
      </c>
      <c r="M160" s="3" t="s">
        <v>138</v>
      </c>
    </row>
    <row r="161" customFormat="false" ht="15" hidden="false" customHeight="false" outlineLevel="0" collapsed="false">
      <c r="A161" s="1" t="s">
        <v>14</v>
      </c>
      <c r="B161" s="10" t="n">
        <v>45135</v>
      </c>
      <c r="C161" s="1" t="s">
        <v>474</v>
      </c>
      <c r="D161" s="10" t="n">
        <v>35819</v>
      </c>
      <c r="E161" s="1" t="n">
        <v>1401359722</v>
      </c>
    </row>
    <row r="162" customFormat="false" ht="15" hidden="false" customHeight="false" outlineLevel="0" collapsed="false">
      <c r="A162" s="1" t="s">
        <v>62</v>
      </c>
      <c r="B162" s="10" t="n">
        <v>45135</v>
      </c>
      <c r="C162" s="1" t="s">
        <v>475</v>
      </c>
      <c r="D162" s="10" t="n">
        <v>44428</v>
      </c>
      <c r="E162" s="1" t="n">
        <v>1401360019</v>
      </c>
    </row>
    <row r="163" customFormat="false" ht="15" hidden="false" customHeight="false" outlineLevel="0" collapsed="false">
      <c r="A163" s="1" t="s">
        <v>62</v>
      </c>
      <c r="B163" s="10" t="n">
        <v>45138</v>
      </c>
      <c r="C163" s="1" t="s">
        <v>476</v>
      </c>
      <c r="D163" s="10" t="n">
        <v>45041</v>
      </c>
      <c r="E163" s="1" t="n">
        <v>1401360087</v>
      </c>
    </row>
    <row r="164" customFormat="false" ht="15" hidden="false" customHeight="false" outlineLevel="0" collapsed="false">
      <c r="A164" s="21" t="s">
        <v>62</v>
      </c>
      <c r="B164" s="10" t="n">
        <v>45140</v>
      </c>
      <c r="C164" s="1" t="s">
        <v>477</v>
      </c>
      <c r="D164" s="26" t="n">
        <v>17391</v>
      </c>
      <c r="E164" s="3" t="n">
        <v>1003351614</v>
      </c>
    </row>
    <row r="165" customFormat="false" ht="15" hidden="false" customHeight="false" outlineLevel="0" collapsed="false">
      <c r="A165" s="21"/>
      <c r="B165" s="10" t="n">
        <v>45140</v>
      </c>
      <c r="C165" s="1" t="s">
        <v>477</v>
      </c>
      <c r="D165" s="26" t="n">
        <v>17391</v>
      </c>
      <c r="E165" s="3" t="n">
        <v>1003351614</v>
      </c>
    </row>
    <row r="166" customFormat="false" ht="15" hidden="false" customHeight="false" outlineLevel="0" collapsed="false">
      <c r="A166" s="1" t="s">
        <v>62</v>
      </c>
      <c r="B166" s="10" t="n">
        <v>45140</v>
      </c>
      <c r="C166" s="1" t="s">
        <v>478</v>
      </c>
      <c r="D166" s="10" t="n">
        <v>44253</v>
      </c>
      <c r="E166" s="1" t="n">
        <v>1400278903</v>
      </c>
    </row>
    <row r="167" customFormat="false" ht="15" hidden="false" customHeight="false" outlineLevel="0" collapsed="false">
      <c r="A167" s="1" t="s">
        <v>62</v>
      </c>
      <c r="B167" s="10" t="n">
        <v>45141</v>
      </c>
      <c r="C167" s="1" t="s">
        <v>479</v>
      </c>
      <c r="D167" s="10" t="n">
        <v>30788</v>
      </c>
      <c r="E167" s="1" t="n">
        <v>1401038645</v>
      </c>
    </row>
    <row r="168" customFormat="false" ht="15" hidden="false" customHeight="false" outlineLevel="0" collapsed="false">
      <c r="A168" s="1" t="s">
        <v>14</v>
      </c>
      <c r="B168" s="10" t="n">
        <v>45144</v>
      </c>
      <c r="C168" s="1" t="s">
        <v>480</v>
      </c>
      <c r="D168" s="10" t="n">
        <v>36832</v>
      </c>
      <c r="E168" s="1" t="n">
        <v>1401369977</v>
      </c>
    </row>
    <row r="169" customFormat="false" ht="15" hidden="false" customHeight="false" outlineLevel="0" collapsed="false">
      <c r="A169" s="1" t="s">
        <v>14</v>
      </c>
      <c r="B169" s="10" t="n">
        <v>45144</v>
      </c>
      <c r="C169" s="1" t="s">
        <v>481</v>
      </c>
      <c r="D169" s="10" t="n">
        <v>34096</v>
      </c>
      <c r="E169" s="1" t="n">
        <v>1401369968</v>
      </c>
    </row>
    <row r="170" customFormat="false" ht="15" hidden="false" customHeight="false" outlineLevel="0" collapsed="false">
      <c r="A170" s="1" t="s">
        <v>14</v>
      </c>
      <c r="B170" s="10" t="n">
        <v>45144</v>
      </c>
      <c r="C170" s="1" t="s">
        <v>482</v>
      </c>
      <c r="D170" s="10" t="n">
        <v>38478</v>
      </c>
      <c r="E170" s="1" t="n">
        <v>1401369966</v>
      </c>
    </row>
    <row r="171" customFormat="false" ht="15" hidden="false" customHeight="false" outlineLevel="0" collapsed="false">
      <c r="A171" s="1" t="s">
        <v>14</v>
      </c>
      <c r="B171" s="10" t="n">
        <v>45144</v>
      </c>
      <c r="C171" s="1" t="s">
        <v>483</v>
      </c>
      <c r="D171" s="10" t="n">
        <v>39178</v>
      </c>
      <c r="E171" s="1" t="n">
        <v>1008177567</v>
      </c>
    </row>
    <row r="172" customFormat="false" ht="15" hidden="false" customHeight="false" outlineLevel="0" collapsed="false">
      <c r="A172" s="1" t="s">
        <v>14</v>
      </c>
      <c r="B172" s="10" t="n">
        <v>45145</v>
      </c>
      <c r="C172" s="1" t="s">
        <v>484</v>
      </c>
      <c r="D172" s="10" t="n">
        <v>40389</v>
      </c>
      <c r="E172" s="1" t="n">
        <v>1010313203</v>
      </c>
    </row>
    <row r="173" customFormat="false" ht="15" hidden="false" customHeight="false" outlineLevel="0" collapsed="false">
      <c r="A173" s="1" t="s">
        <v>62</v>
      </c>
      <c r="B173" s="10" t="n">
        <v>45145</v>
      </c>
      <c r="C173" s="1" t="s">
        <v>485</v>
      </c>
      <c r="D173" s="10" t="n">
        <v>16944</v>
      </c>
      <c r="E173" s="1" t="n">
        <v>1000334690</v>
      </c>
    </row>
    <row r="174" customFormat="false" ht="15" hidden="false" customHeight="false" outlineLevel="0" collapsed="false">
      <c r="A174" s="1" t="s">
        <v>14</v>
      </c>
      <c r="B174" s="10" t="n">
        <v>45145</v>
      </c>
      <c r="C174" s="1" t="s">
        <v>486</v>
      </c>
      <c r="D174" s="10" t="n">
        <v>30227</v>
      </c>
      <c r="E174" s="1" t="n">
        <v>1005430532</v>
      </c>
    </row>
    <row r="175" customFormat="false" ht="15" hidden="false" customHeight="false" outlineLevel="0" collapsed="false">
      <c r="A175" s="1" t="s">
        <v>14</v>
      </c>
      <c r="B175" s="10" t="n">
        <v>45146</v>
      </c>
      <c r="C175" s="1" t="s">
        <v>487</v>
      </c>
      <c r="D175" s="10" t="n">
        <v>34763</v>
      </c>
      <c r="E175" s="1" t="n">
        <v>1401315092</v>
      </c>
    </row>
    <row r="176" customFormat="false" ht="15" hidden="false" customHeight="false" outlineLevel="0" collapsed="false">
      <c r="A176" s="1" t="s">
        <v>14</v>
      </c>
      <c r="B176" s="10" t="n">
        <v>45147</v>
      </c>
      <c r="C176" s="1" t="s">
        <v>488</v>
      </c>
      <c r="D176" s="10" t="n">
        <v>39552</v>
      </c>
      <c r="E176" s="1" t="n">
        <v>1401373597</v>
      </c>
    </row>
    <row r="177" customFormat="false" ht="15" hidden="false" customHeight="false" outlineLevel="0" collapsed="false">
      <c r="A177" s="1" t="s">
        <v>14</v>
      </c>
      <c r="B177" s="10" t="n">
        <v>45147</v>
      </c>
      <c r="C177" s="1" t="s">
        <v>489</v>
      </c>
      <c r="D177" s="10" t="n">
        <v>36759</v>
      </c>
      <c r="E177" s="1" t="n">
        <v>1400877154</v>
      </c>
    </row>
    <row r="178" customFormat="false" ht="15" hidden="false" customHeight="false" outlineLevel="0" collapsed="false">
      <c r="A178" s="1" t="s">
        <v>14</v>
      </c>
      <c r="B178" s="10" t="n">
        <v>45147</v>
      </c>
      <c r="C178" s="1" t="s">
        <v>490</v>
      </c>
      <c r="D178" s="10" t="n">
        <v>39740</v>
      </c>
      <c r="E178" s="1" t="n">
        <v>1401374927</v>
      </c>
    </row>
    <row r="179" customFormat="false" ht="15" hidden="false" customHeight="false" outlineLevel="0" collapsed="false">
      <c r="A179" s="1" t="s">
        <v>14</v>
      </c>
      <c r="B179" s="10" t="n">
        <v>45147</v>
      </c>
      <c r="C179" s="1" t="s">
        <v>251</v>
      </c>
      <c r="D179" s="10" t="n">
        <v>32124</v>
      </c>
      <c r="E179" s="1" t="n">
        <v>1205450202</v>
      </c>
    </row>
    <row r="180" customFormat="false" ht="15" hidden="false" customHeight="false" outlineLevel="0" collapsed="false">
      <c r="A180" s="1" t="s">
        <v>62</v>
      </c>
      <c r="B180" s="10" t="n">
        <v>45149</v>
      </c>
      <c r="C180" s="1" t="s">
        <v>491</v>
      </c>
      <c r="D180" s="10" t="n">
        <v>31433</v>
      </c>
      <c r="E180" s="1" t="n">
        <v>1401377474</v>
      </c>
    </row>
    <row r="181" customFormat="false" ht="15" hidden="false" customHeight="false" outlineLevel="0" collapsed="false">
      <c r="A181" s="18" t="s">
        <v>14</v>
      </c>
      <c r="B181" s="10" t="n">
        <v>45153</v>
      </c>
      <c r="C181" s="1" t="s">
        <v>492</v>
      </c>
      <c r="D181" s="10" t="n">
        <v>38835</v>
      </c>
      <c r="E181" s="1" t="n">
        <v>1401380766</v>
      </c>
    </row>
    <row r="182" customFormat="false" ht="15" hidden="false" customHeight="false" outlineLevel="0" collapsed="false">
      <c r="A182" s="18"/>
      <c r="B182" s="10" t="n">
        <v>45153</v>
      </c>
      <c r="C182" s="1" t="s">
        <v>492</v>
      </c>
      <c r="D182" s="10" t="n">
        <v>38835</v>
      </c>
      <c r="E182" s="1" t="n">
        <v>1401380766</v>
      </c>
    </row>
    <row r="183" customFormat="false" ht="15" hidden="false" customHeight="false" outlineLevel="0" collapsed="false">
      <c r="A183" s="18" t="s">
        <v>14</v>
      </c>
      <c r="B183" s="10" t="n">
        <v>45153</v>
      </c>
      <c r="C183" s="1" t="s">
        <v>493</v>
      </c>
      <c r="D183" s="10" t="n">
        <v>30814</v>
      </c>
      <c r="E183" s="1" t="n">
        <v>1010017969</v>
      </c>
    </row>
    <row r="184" customFormat="false" ht="15" hidden="false" customHeight="false" outlineLevel="0" collapsed="false">
      <c r="A184" s="18"/>
      <c r="B184" s="10" t="n">
        <v>45154</v>
      </c>
      <c r="C184" s="1" t="s">
        <v>493</v>
      </c>
      <c r="D184" s="10" t="n">
        <v>30814</v>
      </c>
      <c r="E184" s="1" t="n">
        <v>1010017969</v>
      </c>
    </row>
    <row r="185" customFormat="false" ht="15" hidden="false" customHeight="false" outlineLevel="0" collapsed="false">
      <c r="A185" s="1" t="s">
        <v>62</v>
      </c>
      <c r="B185" s="10" t="n">
        <v>45153</v>
      </c>
      <c r="C185" s="1" t="s">
        <v>494</v>
      </c>
      <c r="D185" s="10" t="n">
        <v>44477</v>
      </c>
      <c r="E185" s="1" t="n">
        <v>1401381785</v>
      </c>
    </row>
    <row r="186" customFormat="false" ht="15" hidden="false" customHeight="false" outlineLevel="0" collapsed="false">
      <c r="A186" s="21" t="s">
        <v>62</v>
      </c>
      <c r="B186" s="10" t="n">
        <v>45153</v>
      </c>
      <c r="C186" s="1" t="s">
        <v>495</v>
      </c>
      <c r="D186" s="10" t="n">
        <v>29398</v>
      </c>
      <c r="E186" s="1" t="n">
        <v>1009052150</v>
      </c>
    </row>
    <row r="187" customFormat="false" ht="15" hidden="false" customHeight="false" outlineLevel="0" collapsed="false">
      <c r="A187" s="21"/>
      <c r="B187" s="10" t="n">
        <v>45154</v>
      </c>
      <c r="C187" s="1" t="s">
        <v>495</v>
      </c>
      <c r="D187" s="10" t="n">
        <v>29398</v>
      </c>
      <c r="E187" s="1" t="n">
        <v>1009052150</v>
      </c>
    </row>
    <row r="188" customFormat="false" ht="15" hidden="false" customHeight="false" outlineLevel="0" collapsed="false">
      <c r="A188" s="18" t="s">
        <v>14</v>
      </c>
      <c r="B188" s="10" t="n">
        <v>45153</v>
      </c>
      <c r="C188" s="1" t="s">
        <v>496</v>
      </c>
      <c r="D188" s="10" t="n">
        <v>32235</v>
      </c>
      <c r="E188" s="1" t="n">
        <v>1401382217</v>
      </c>
    </row>
    <row r="189" customFormat="false" ht="15" hidden="false" customHeight="false" outlineLevel="0" collapsed="false">
      <c r="A189" s="18"/>
      <c r="B189" s="10" t="n">
        <v>45154</v>
      </c>
      <c r="C189" s="1" t="s">
        <v>496</v>
      </c>
      <c r="D189" s="10" t="n">
        <v>32235</v>
      </c>
      <c r="E189" s="1" t="n">
        <v>1401382217</v>
      </c>
    </row>
    <row r="190" customFormat="false" ht="15" hidden="false" customHeight="false" outlineLevel="0" collapsed="false">
      <c r="A190" s="1" t="s">
        <v>14</v>
      </c>
      <c r="B190" s="10" t="n">
        <v>45154</v>
      </c>
      <c r="C190" s="1" t="s">
        <v>497</v>
      </c>
      <c r="D190" s="10" t="n">
        <v>29554</v>
      </c>
      <c r="E190" s="1" t="n">
        <v>1401381886</v>
      </c>
    </row>
    <row r="191" customFormat="false" ht="15" hidden="false" customHeight="false" outlineLevel="0" collapsed="false">
      <c r="A191" s="1" t="s">
        <v>62</v>
      </c>
      <c r="B191" s="10" t="n">
        <v>45154</v>
      </c>
      <c r="C191" s="1" t="s">
        <v>498</v>
      </c>
      <c r="D191" s="10" t="n">
        <v>43717</v>
      </c>
      <c r="E191" s="1" t="n">
        <v>1203362060</v>
      </c>
    </row>
    <row r="192" customFormat="false" ht="15" hidden="false" customHeight="false" outlineLevel="0" collapsed="false">
      <c r="A192" s="1" t="s">
        <v>14</v>
      </c>
      <c r="B192" s="10" t="n">
        <v>45155</v>
      </c>
      <c r="C192" s="1" t="s">
        <v>499</v>
      </c>
      <c r="D192" s="10" t="n">
        <v>37806</v>
      </c>
      <c r="E192" s="1" t="n">
        <v>1400712166</v>
      </c>
    </row>
    <row r="193" customFormat="false" ht="15" hidden="false" customHeight="false" outlineLevel="0" collapsed="false">
      <c r="B193" s="10" t="n">
        <v>45158</v>
      </c>
      <c r="C193" s="1" t="s">
        <v>500</v>
      </c>
      <c r="D193" s="10" t="n">
        <v>34934</v>
      </c>
      <c r="E193" s="1" t="n">
        <v>1101649206</v>
      </c>
    </row>
    <row r="194" customFormat="false" ht="15" hidden="false" customHeight="false" outlineLevel="0" collapsed="false">
      <c r="A194" s="1" t="s">
        <v>62</v>
      </c>
      <c r="B194" s="10" t="n">
        <v>45158</v>
      </c>
      <c r="C194" s="1" t="s">
        <v>501</v>
      </c>
      <c r="D194" s="10" t="n">
        <v>28573</v>
      </c>
      <c r="E194" s="1" t="n">
        <v>1002634285</v>
      </c>
    </row>
    <row r="195" customFormat="false" ht="15" hidden="false" customHeight="false" outlineLevel="0" collapsed="false">
      <c r="A195" s="1" t="s">
        <v>14</v>
      </c>
      <c r="B195" s="10" t="n">
        <v>45158</v>
      </c>
      <c r="C195" s="1" t="s">
        <v>502</v>
      </c>
      <c r="D195" s="10" t="n">
        <v>28841</v>
      </c>
      <c r="E195" s="1" t="n">
        <v>1400394345</v>
      </c>
    </row>
    <row r="196" customFormat="false" ht="15" hidden="false" customHeight="false" outlineLevel="0" collapsed="false">
      <c r="A196" s="1" t="s">
        <v>14</v>
      </c>
      <c r="B196" s="10" t="n">
        <v>45159</v>
      </c>
      <c r="C196" s="1" t="s">
        <v>503</v>
      </c>
      <c r="D196" s="10" t="n">
        <v>23751</v>
      </c>
      <c r="E196" s="1" t="n">
        <v>1003297212</v>
      </c>
    </row>
    <row r="197" customFormat="false" ht="15" hidden="false" customHeight="false" outlineLevel="0" collapsed="false">
      <c r="A197" s="1" t="s">
        <v>62</v>
      </c>
      <c r="B197" s="10" t="n">
        <v>45159</v>
      </c>
      <c r="C197" s="1" t="s">
        <v>504</v>
      </c>
      <c r="D197" s="10" t="n">
        <v>44479</v>
      </c>
      <c r="E197" s="1" t="n">
        <v>1400480334</v>
      </c>
    </row>
    <row r="198" customFormat="false" ht="15" hidden="false" customHeight="false" outlineLevel="0" collapsed="false">
      <c r="A198" s="1" t="s">
        <v>14</v>
      </c>
      <c r="B198" s="10" t="n">
        <v>45159</v>
      </c>
      <c r="C198" s="1" t="s">
        <v>505</v>
      </c>
      <c r="D198" s="10" t="n">
        <v>18240</v>
      </c>
      <c r="E198" s="1" t="n">
        <v>1102881845</v>
      </c>
    </row>
    <row r="199" customFormat="false" ht="15" hidden="false" customHeight="false" outlineLevel="0" collapsed="false">
      <c r="A199" s="1" t="s">
        <v>62</v>
      </c>
      <c r="B199" s="10" t="n">
        <v>45160</v>
      </c>
      <c r="C199" s="1" t="s">
        <v>506</v>
      </c>
      <c r="D199" s="10" t="n">
        <v>31286</v>
      </c>
      <c r="E199" s="1" t="n">
        <v>1103199920</v>
      </c>
    </row>
    <row r="200" customFormat="false" ht="15" hidden="false" customHeight="false" outlineLevel="0" collapsed="false">
      <c r="A200" s="1" t="s">
        <v>14</v>
      </c>
      <c r="B200" s="10" t="n">
        <v>45160</v>
      </c>
      <c r="C200" s="1" t="s">
        <v>507</v>
      </c>
      <c r="D200" s="10" t="n">
        <v>20841</v>
      </c>
      <c r="E200" s="1" t="n">
        <v>1205055292</v>
      </c>
    </row>
    <row r="201" customFormat="false" ht="15" hidden="false" customHeight="false" outlineLevel="0" collapsed="false">
      <c r="A201" s="1" t="s">
        <v>14</v>
      </c>
      <c r="B201" s="10" t="n">
        <v>45160</v>
      </c>
      <c r="C201" s="1" t="s">
        <v>508</v>
      </c>
      <c r="D201" s="10" t="n">
        <v>41477</v>
      </c>
      <c r="E201" s="1" t="n">
        <v>1100869636</v>
      </c>
    </row>
    <row r="202" customFormat="false" ht="15" hidden="false" customHeight="false" outlineLevel="0" collapsed="false">
      <c r="A202" s="1" t="s">
        <v>14</v>
      </c>
      <c r="B202" s="10" t="n">
        <v>45161</v>
      </c>
      <c r="C202" s="1" t="s">
        <v>509</v>
      </c>
      <c r="D202" s="10" t="n">
        <v>39885</v>
      </c>
      <c r="E202" s="1" t="n">
        <v>1203342736</v>
      </c>
    </row>
    <row r="203" customFormat="false" ht="15" hidden="false" customHeight="false" outlineLevel="0" collapsed="false">
      <c r="B203" s="10" t="n">
        <v>45162</v>
      </c>
      <c r="C203" s="1" t="s">
        <v>510</v>
      </c>
      <c r="D203" s="10" t="n">
        <v>21872</v>
      </c>
      <c r="E203" s="1" t="n">
        <v>1102431202</v>
      </c>
    </row>
    <row r="204" customFormat="false" ht="15" hidden="false" customHeight="false" outlineLevel="0" collapsed="false">
      <c r="B204" s="10" t="n">
        <v>45162</v>
      </c>
      <c r="C204" s="1" t="s">
        <v>142</v>
      </c>
      <c r="D204" s="10" t="n">
        <v>33457</v>
      </c>
      <c r="E204" s="1" t="n">
        <v>1400587005</v>
      </c>
    </row>
    <row r="205" customFormat="false" ht="15" hidden="false" customHeight="false" outlineLevel="0" collapsed="false">
      <c r="A205" s="1" t="s">
        <v>14</v>
      </c>
      <c r="B205" s="10" t="n">
        <v>45162</v>
      </c>
      <c r="C205" s="1" t="s">
        <v>511</v>
      </c>
      <c r="D205" s="10" t="n">
        <v>42119</v>
      </c>
      <c r="E205" s="1" t="n">
        <v>1401393822</v>
      </c>
    </row>
    <row r="206" customFormat="false" ht="15" hidden="false" customHeight="false" outlineLevel="0" collapsed="false">
      <c r="A206" s="1" t="s">
        <v>14</v>
      </c>
      <c r="B206" s="10" t="n">
        <v>45162</v>
      </c>
      <c r="C206" s="1" t="s">
        <v>512</v>
      </c>
      <c r="D206" s="10" t="n">
        <v>42484</v>
      </c>
      <c r="E206" s="1" t="n">
        <v>1401393820</v>
      </c>
    </row>
    <row r="207" customFormat="false" ht="15" hidden="false" customHeight="false" outlineLevel="0" collapsed="false">
      <c r="B207" s="10" t="n">
        <v>45162</v>
      </c>
      <c r="C207" s="1" t="s">
        <v>513</v>
      </c>
      <c r="D207" s="10" t="n">
        <v>34763</v>
      </c>
      <c r="E207" s="1" t="n">
        <v>1401393825</v>
      </c>
    </row>
    <row r="208" customFormat="false" ht="15" hidden="false" customHeight="false" outlineLevel="0" collapsed="false">
      <c r="B208" s="10" t="n">
        <v>45163</v>
      </c>
      <c r="C208" s="1" t="s">
        <v>514</v>
      </c>
      <c r="D208" s="10" t="n">
        <v>18766</v>
      </c>
      <c r="E208" s="1" t="n">
        <v>1100220896</v>
      </c>
    </row>
    <row r="209" customFormat="false" ht="15" hidden="false" customHeight="false" outlineLevel="0" collapsed="false">
      <c r="B209" s="10" t="n">
        <v>45165</v>
      </c>
      <c r="C209" s="1" t="s">
        <v>515</v>
      </c>
      <c r="D209" s="10" t="n">
        <v>36641</v>
      </c>
      <c r="E209" s="1" t="n">
        <v>1401395597</v>
      </c>
    </row>
    <row r="210" customFormat="false" ht="15" hidden="false" customHeight="false" outlineLevel="0" collapsed="false">
      <c r="B210" s="10" t="n">
        <v>45165</v>
      </c>
      <c r="C210" s="1" t="s">
        <v>516</v>
      </c>
      <c r="D210" s="10" t="n">
        <v>33308</v>
      </c>
      <c r="E210" s="1" t="n">
        <v>1203294968</v>
      </c>
    </row>
    <row r="211" customFormat="false" ht="15" hidden="false" customHeight="false" outlineLevel="0" collapsed="false">
      <c r="B211" s="10" t="n">
        <v>45165</v>
      </c>
      <c r="C211" s="1" t="s">
        <v>517</v>
      </c>
      <c r="D211" s="10" t="n">
        <v>25017</v>
      </c>
      <c r="E211" s="1" t="n">
        <v>1007480037</v>
      </c>
    </row>
    <row r="212" customFormat="false" ht="15" hidden="false" customHeight="false" outlineLevel="0" collapsed="false">
      <c r="B212" s="10" t="n">
        <v>45166</v>
      </c>
      <c r="C212" s="1" t="s">
        <v>518</v>
      </c>
      <c r="D212" s="10" t="n">
        <v>35423</v>
      </c>
      <c r="E212" s="1" t="n">
        <v>1401044636</v>
      </c>
    </row>
    <row r="213" customFormat="false" ht="15" hidden="false" customHeight="false" outlineLevel="0" collapsed="false">
      <c r="B213" s="10" t="n">
        <v>45167</v>
      </c>
      <c r="C213" s="1" t="s">
        <v>519</v>
      </c>
      <c r="D213" s="10" t="n">
        <v>34321</v>
      </c>
      <c r="E213" s="1" t="n">
        <v>1400863847</v>
      </c>
    </row>
    <row r="214" customFormat="false" ht="15" hidden="false" customHeight="false" outlineLevel="0" collapsed="false">
      <c r="B214" s="10" t="n">
        <v>45168</v>
      </c>
      <c r="C214" s="1" t="s">
        <v>520</v>
      </c>
      <c r="D214" s="10" t="n">
        <v>39114</v>
      </c>
      <c r="E214" s="1" t="n">
        <v>1203611174</v>
      </c>
    </row>
    <row r="215" customFormat="false" ht="15" hidden="false" customHeight="false" outlineLevel="0" collapsed="false">
      <c r="B215" s="10" t="n">
        <v>45168</v>
      </c>
      <c r="C215" s="1" t="s">
        <v>521</v>
      </c>
      <c r="D215" s="10" t="n">
        <v>38915</v>
      </c>
      <c r="E215" s="1" t="n">
        <v>1009394684</v>
      </c>
    </row>
    <row r="216" customFormat="false" ht="15" hidden="false" customHeight="false" outlineLevel="0" collapsed="false">
      <c r="B216" s="10" t="n">
        <v>45169</v>
      </c>
      <c r="C216" s="1" t="s">
        <v>522</v>
      </c>
      <c r="D216" s="10" t="n">
        <v>36925</v>
      </c>
      <c r="E216" s="1" t="n">
        <v>1203669916</v>
      </c>
    </row>
    <row r="217" customFormat="false" ht="15" hidden="false" customHeight="false" outlineLevel="0" collapsed="false">
      <c r="B217" s="10" t="n">
        <v>45174</v>
      </c>
      <c r="C217" s="1" t="s">
        <v>523</v>
      </c>
      <c r="D217" s="10" t="n">
        <v>25669</v>
      </c>
      <c r="E217" s="1" t="n">
        <v>1400907148</v>
      </c>
    </row>
    <row r="218" customFormat="false" ht="15" hidden="false" customHeight="false" outlineLevel="0" collapsed="false">
      <c r="B218" s="10" t="n">
        <v>45174</v>
      </c>
      <c r="C218" s="1" t="s">
        <v>524</v>
      </c>
      <c r="D218" s="10" t="n">
        <v>39892</v>
      </c>
      <c r="E218" s="1" t="n">
        <v>1009101970</v>
      </c>
    </row>
    <row r="219" customFormat="false" ht="15" hidden="false" customHeight="false" outlineLevel="0" collapsed="false">
      <c r="B219" s="10" t="n">
        <v>45175</v>
      </c>
      <c r="C219" s="1" t="s">
        <v>524</v>
      </c>
      <c r="D219" s="10" t="n">
        <v>39892</v>
      </c>
      <c r="E219" s="1" t="n">
        <v>1009101970</v>
      </c>
    </row>
    <row r="220" customFormat="false" ht="15" hidden="false" customHeight="false" outlineLevel="0" collapsed="false">
      <c r="B220" s="10" t="n">
        <v>45177</v>
      </c>
      <c r="C220" s="1" t="s">
        <v>525</v>
      </c>
      <c r="D220" s="10" t="n">
        <v>33619</v>
      </c>
      <c r="E220" s="1" t="n">
        <v>1401409702</v>
      </c>
    </row>
    <row r="221" customFormat="false" ht="15" hidden="false" customHeight="false" outlineLevel="0" collapsed="false">
      <c r="B221" s="10" t="n">
        <v>45178</v>
      </c>
      <c r="C221" s="1" t="s">
        <v>526</v>
      </c>
      <c r="D221" s="10" t="n">
        <v>38010</v>
      </c>
      <c r="E221" s="1" t="n">
        <v>1401349408</v>
      </c>
    </row>
    <row r="222" customFormat="false" ht="15" hidden="false" customHeight="false" outlineLevel="0" collapsed="false">
      <c r="B222" s="10" t="n">
        <v>45179</v>
      </c>
      <c r="C222" s="1" t="s">
        <v>527</v>
      </c>
      <c r="D222" s="10" t="n">
        <v>32877</v>
      </c>
      <c r="E222" s="1" t="n">
        <v>1100998800</v>
      </c>
    </row>
    <row r="223" customFormat="false" ht="15" hidden="false" customHeight="false" outlineLevel="0" collapsed="false">
      <c r="B223" s="10" t="n">
        <v>45179</v>
      </c>
      <c r="C223" s="1" t="s">
        <v>528</v>
      </c>
      <c r="D223" s="10" t="n">
        <v>41869</v>
      </c>
      <c r="E223" s="1" t="n">
        <v>1401411791</v>
      </c>
    </row>
    <row r="224" customFormat="false" ht="15" hidden="false" customHeight="false" outlineLevel="0" collapsed="false">
      <c r="B224" s="10" t="n">
        <v>45179</v>
      </c>
      <c r="C224" s="1" t="s">
        <v>529</v>
      </c>
      <c r="D224" s="10" t="n">
        <v>19516</v>
      </c>
      <c r="E224" s="1" t="n">
        <v>1000125717</v>
      </c>
    </row>
    <row r="225" customFormat="false" ht="15" hidden="false" customHeight="false" outlineLevel="0" collapsed="false">
      <c r="B225" s="10" t="n">
        <v>45179</v>
      </c>
      <c r="C225" s="1" t="s">
        <v>106</v>
      </c>
      <c r="D225" s="10" t="n">
        <v>24743</v>
      </c>
      <c r="E225" s="1" t="n">
        <v>1100404076</v>
      </c>
    </row>
    <row r="226" customFormat="false" ht="15" hidden="false" customHeight="false" outlineLevel="0" collapsed="false">
      <c r="B226" s="10" t="n">
        <v>45180</v>
      </c>
      <c r="C226" s="1" t="s">
        <v>106</v>
      </c>
      <c r="D226" s="10" t="n">
        <v>24743</v>
      </c>
      <c r="E226" s="1" t="n">
        <v>1100404076</v>
      </c>
    </row>
    <row r="227" customFormat="false" ht="15" hidden="false" customHeight="false" outlineLevel="0" collapsed="false">
      <c r="B227" s="10" t="n">
        <v>45181</v>
      </c>
      <c r="C227" s="1" t="s">
        <v>530</v>
      </c>
      <c r="D227" s="10" t="n">
        <v>39497</v>
      </c>
      <c r="E227" s="1" t="n">
        <v>1008600012</v>
      </c>
    </row>
    <row r="228" customFormat="false" ht="15" hidden="false" customHeight="false" outlineLevel="0" collapsed="false">
      <c r="B228" s="10" t="n">
        <v>45182</v>
      </c>
      <c r="C228" s="1" t="s">
        <v>531</v>
      </c>
      <c r="D228" s="10" t="n">
        <v>27873</v>
      </c>
      <c r="E228" s="1" t="n">
        <v>1002860118</v>
      </c>
    </row>
    <row r="229" customFormat="false" ht="15" hidden="false" customHeight="false" outlineLevel="0" collapsed="false">
      <c r="B229" s="10" t="n">
        <v>45182</v>
      </c>
      <c r="C229" s="1" t="s">
        <v>532</v>
      </c>
      <c r="D229" s="10" t="n">
        <v>43882</v>
      </c>
      <c r="E229" s="1" t="n">
        <v>1203607075</v>
      </c>
    </row>
    <row r="230" customFormat="false" ht="15" hidden="false" customHeight="false" outlineLevel="0" collapsed="false">
      <c r="B230" s="10" t="n">
        <v>45183</v>
      </c>
      <c r="C230" s="1" t="s">
        <v>532</v>
      </c>
      <c r="D230" s="10" t="n">
        <v>43882</v>
      </c>
      <c r="E230" s="1" t="n">
        <v>1203607075</v>
      </c>
    </row>
    <row r="231" customFormat="false" ht="15" hidden="false" customHeight="false" outlineLevel="0" collapsed="false">
      <c r="B231" s="10" t="n">
        <v>45184</v>
      </c>
      <c r="C231" s="1" t="s">
        <v>532</v>
      </c>
      <c r="D231" s="10" t="n">
        <v>43882</v>
      </c>
      <c r="E231" s="1" t="n">
        <v>1203607075</v>
      </c>
    </row>
    <row r="232" customFormat="false" ht="15" hidden="false" customHeight="false" outlineLevel="0" collapsed="false">
      <c r="B232" s="10" t="n">
        <v>45186</v>
      </c>
      <c r="C232" s="1" t="s">
        <v>532</v>
      </c>
      <c r="D232" s="10" t="n">
        <v>43882</v>
      </c>
      <c r="E232" s="1" t="n">
        <v>1203607075</v>
      </c>
    </row>
    <row r="233" customFormat="false" ht="15" hidden="false" customHeight="false" outlineLevel="0" collapsed="false">
      <c r="B233" s="10" t="n">
        <v>45189</v>
      </c>
      <c r="C233" s="1" t="s">
        <v>532</v>
      </c>
      <c r="D233" s="10" t="n">
        <v>43882</v>
      </c>
      <c r="E233" s="1" t="n">
        <v>1203607075</v>
      </c>
    </row>
    <row r="234" customFormat="false" ht="15" hidden="false" customHeight="false" outlineLevel="0" collapsed="false">
      <c r="B234" s="10" t="n">
        <v>45184</v>
      </c>
      <c r="C234" s="1" t="s">
        <v>533</v>
      </c>
      <c r="D234" s="10" t="n">
        <v>31997</v>
      </c>
      <c r="E234" s="1" t="n">
        <v>1103429404</v>
      </c>
    </row>
    <row r="235" customFormat="false" ht="15" hidden="false" customHeight="false" outlineLevel="0" collapsed="false">
      <c r="B235" s="10" t="n">
        <v>45185</v>
      </c>
      <c r="C235" s="1" t="s">
        <v>534</v>
      </c>
      <c r="D235" s="10" t="n">
        <v>43671</v>
      </c>
      <c r="E235" s="1" t="n">
        <v>1401420623</v>
      </c>
    </row>
    <row r="236" customFormat="false" ht="15" hidden="false" customHeight="false" outlineLevel="0" collapsed="false">
      <c r="B236" s="10" t="n">
        <v>45186</v>
      </c>
      <c r="C236" s="1" t="s">
        <v>535</v>
      </c>
      <c r="D236" s="10" t="n">
        <v>13810</v>
      </c>
      <c r="E236" s="1" t="n">
        <v>1101074405</v>
      </c>
    </row>
    <row r="237" customFormat="false" ht="15" hidden="false" customHeight="false" outlineLevel="0" collapsed="false">
      <c r="B237" s="10" t="n">
        <v>45186</v>
      </c>
      <c r="C237" s="1" t="s">
        <v>536</v>
      </c>
      <c r="D237" s="10" t="n">
        <v>35814</v>
      </c>
      <c r="E237" s="1" t="n">
        <v>1005376138</v>
      </c>
    </row>
    <row r="238" customFormat="false" ht="15" hidden="false" customHeight="false" outlineLevel="0" collapsed="false">
      <c r="B238" s="10" t="n">
        <v>45187</v>
      </c>
      <c r="C238" s="1" t="s">
        <v>537</v>
      </c>
      <c r="D238" s="10" t="n">
        <v>25664</v>
      </c>
      <c r="E238" s="1" t="n">
        <v>1401241782</v>
      </c>
    </row>
    <row r="239" customFormat="false" ht="15" hidden="false" customHeight="false" outlineLevel="0" collapsed="false">
      <c r="A239" s="31" t="s">
        <v>538</v>
      </c>
      <c r="B239" s="10" t="n">
        <v>45191</v>
      </c>
      <c r="C239" s="1" t="s">
        <v>539</v>
      </c>
      <c r="D239" s="10" t="n">
        <v>28611</v>
      </c>
      <c r="E239" s="1" t="n">
        <v>1203667260</v>
      </c>
    </row>
    <row r="240" customFormat="false" ht="15" hidden="false" customHeight="false" outlineLevel="0" collapsed="false">
      <c r="A240" s="31" t="s">
        <v>538</v>
      </c>
      <c r="B240" s="10" t="n">
        <v>45192</v>
      </c>
      <c r="C240" s="1" t="s">
        <v>539</v>
      </c>
      <c r="D240" s="10" t="n">
        <v>28611</v>
      </c>
      <c r="E240" s="1" t="n">
        <v>1203667260</v>
      </c>
    </row>
    <row r="241" customFormat="false" ht="15" hidden="false" customHeight="false" outlineLevel="0" collapsed="false">
      <c r="A241" s="31" t="s">
        <v>538</v>
      </c>
      <c r="B241" s="10" t="n">
        <v>45194</v>
      </c>
      <c r="C241" s="1" t="s">
        <v>539</v>
      </c>
      <c r="D241" s="10" t="n">
        <v>28611</v>
      </c>
      <c r="E241" s="1" t="n">
        <v>1203667260</v>
      </c>
    </row>
    <row r="242" customFormat="false" ht="15" hidden="false" customHeight="false" outlineLevel="0" collapsed="false">
      <c r="B242" s="10" t="n">
        <v>45192</v>
      </c>
      <c r="C242" s="1" t="s">
        <v>540</v>
      </c>
      <c r="D242" s="10" t="n">
        <v>44767</v>
      </c>
      <c r="E242" s="1" t="n">
        <v>1400863041</v>
      </c>
    </row>
    <row r="243" customFormat="false" ht="15" hidden="false" customHeight="false" outlineLevel="0" collapsed="false">
      <c r="B243" s="10" t="n">
        <v>45195</v>
      </c>
      <c r="C243" s="1" t="s">
        <v>541</v>
      </c>
      <c r="D243" s="10" t="n">
        <v>34365</v>
      </c>
      <c r="E243" s="1" t="n">
        <v>1008284779</v>
      </c>
    </row>
    <row r="244" customFormat="false" ht="15" hidden="false" customHeight="false" outlineLevel="0" collapsed="false">
      <c r="B244" s="10" t="n">
        <v>45196</v>
      </c>
      <c r="C244" s="1" t="s">
        <v>542</v>
      </c>
      <c r="D244" s="10" t="n">
        <v>37106</v>
      </c>
      <c r="E244" s="1" t="n">
        <v>1401433266</v>
      </c>
    </row>
    <row r="245" customFormat="false" ht="15" hidden="false" customHeight="false" outlineLevel="0" collapsed="false">
      <c r="B245" s="10" t="n">
        <v>45196</v>
      </c>
      <c r="C245" s="1" t="s">
        <v>543</v>
      </c>
      <c r="D245" s="10" t="n">
        <v>34599</v>
      </c>
      <c r="E245" s="1" t="n">
        <v>1006853706</v>
      </c>
    </row>
    <row r="246" customFormat="false" ht="15" hidden="false" customHeight="false" outlineLevel="0" collapsed="false">
      <c r="B246" s="10" t="n">
        <v>45197</v>
      </c>
      <c r="C246" s="1" t="s">
        <v>544</v>
      </c>
      <c r="D246" s="10" t="n">
        <v>18768</v>
      </c>
      <c r="E246" s="1" t="n">
        <v>1401436341</v>
      </c>
    </row>
    <row r="247" customFormat="false" ht="15" hidden="false" customHeight="false" outlineLevel="0" collapsed="false">
      <c r="B247" s="10" t="n">
        <v>45200</v>
      </c>
      <c r="C247" s="1" t="s">
        <v>545</v>
      </c>
      <c r="D247" s="10" t="n">
        <v>29087</v>
      </c>
      <c r="E247" s="1" t="n">
        <v>1401437971</v>
      </c>
    </row>
    <row r="248" customFormat="false" ht="15" hidden="false" customHeight="false" outlineLevel="0" collapsed="false">
      <c r="B248" s="10" t="n">
        <v>45201</v>
      </c>
      <c r="C248" s="1" t="s">
        <v>546</v>
      </c>
      <c r="D248" s="10" t="n">
        <v>37579</v>
      </c>
      <c r="E248" s="1" t="n">
        <v>1401438453</v>
      </c>
    </row>
    <row r="249" customFormat="false" ht="15" hidden="false" customHeight="false" outlineLevel="0" collapsed="false">
      <c r="B249" s="10" t="n">
        <v>45202</v>
      </c>
      <c r="C249" s="1" t="s">
        <v>546</v>
      </c>
      <c r="D249" s="10" t="n">
        <v>37579</v>
      </c>
      <c r="E249" s="1" t="n">
        <v>1401438453</v>
      </c>
    </row>
    <row r="250" customFormat="false" ht="15" hidden="false" customHeight="false" outlineLevel="0" collapsed="false">
      <c r="B250" s="10" t="n">
        <v>45202</v>
      </c>
      <c r="C250" s="1" t="s">
        <v>546</v>
      </c>
      <c r="D250" s="10" t="n">
        <v>37579</v>
      </c>
      <c r="E250" s="1" t="n">
        <v>1401438453</v>
      </c>
    </row>
    <row r="251" customFormat="false" ht="15" hidden="false" customHeight="false" outlineLevel="0" collapsed="false">
      <c r="B251" s="10" t="n">
        <v>45205</v>
      </c>
      <c r="C251" s="1" t="s">
        <v>546</v>
      </c>
      <c r="D251" s="10" t="n">
        <v>37579</v>
      </c>
      <c r="E251" s="1" t="n">
        <v>1401438453</v>
      </c>
    </row>
    <row r="252" customFormat="false" ht="15" hidden="false" customHeight="false" outlineLevel="0" collapsed="false">
      <c r="B252" s="10" t="n">
        <v>45202</v>
      </c>
      <c r="C252" s="1" t="s">
        <v>547</v>
      </c>
      <c r="D252" s="10" t="n">
        <v>16315</v>
      </c>
      <c r="E252" s="1" t="n">
        <v>1001391977</v>
      </c>
    </row>
    <row r="253" customFormat="false" ht="15" hidden="false" customHeight="false" outlineLevel="0" collapsed="false">
      <c r="B253" s="10" t="n">
        <v>45205</v>
      </c>
      <c r="C253" s="1" t="s">
        <v>547</v>
      </c>
      <c r="D253" s="10" t="n">
        <v>16315</v>
      </c>
      <c r="E253" s="1" t="n">
        <v>1001391977</v>
      </c>
    </row>
    <row r="254" customFormat="false" ht="15" hidden="false" customHeight="false" outlineLevel="0" collapsed="false">
      <c r="B254" s="10" t="n">
        <v>45203</v>
      </c>
      <c r="C254" s="1" t="s">
        <v>548</v>
      </c>
      <c r="D254" s="10" t="n">
        <v>32846</v>
      </c>
      <c r="E254" s="1" t="n">
        <v>1401441905</v>
      </c>
    </row>
    <row r="255" customFormat="false" ht="15" hidden="false" customHeight="false" outlineLevel="0" collapsed="false">
      <c r="B255" s="10" t="n">
        <v>45203</v>
      </c>
      <c r="C255" s="1" t="s">
        <v>549</v>
      </c>
      <c r="D255" s="10" t="n">
        <v>39476</v>
      </c>
      <c r="E255" s="1" t="n">
        <v>1400601942</v>
      </c>
    </row>
    <row r="256" customFormat="false" ht="15" hidden="false" customHeight="false" outlineLevel="0" collapsed="false">
      <c r="B256" s="10" t="n">
        <v>45204</v>
      </c>
      <c r="C256" s="1" t="s">
        <v>550</v>
      </c>
      <c r="D256" s="10" t="n">
        <v>19963</v>
      </c>
      <c r="E256" s="1" t="n">
        <v>1401444485</v>
      </c>
    </row>
    <row r="257" customFormat="false" ht="15" hidden="false" customHeight="false" outlineLevel="0" collapsed="false">
      <c r="B257" s="10" t="n">
        <v>45205</v>
      </c>
      <c r="C257" s="1" t="s">
        <v>551</v>
      </c>
      <c r="D257" s="10" t="n">
        <v>21256</v>
      </c>
      <c r="E257" s="1" t="n">
        <v>1001703998</v>
      </c>
    </row>
    <row r="258" customFormat="false" ht="15" hidden="false" customHeight="false" outlineLevel="0" collapsed="false">
      <c r="B258" s="10" t="n">
        <v>45205</v>
      </c>
      <c r="C258" s="1" t="s">
        <v>552</v>
      </c>
      <c r="D258" s="10" t="n">
        <v>37471</v>
      </c>
      <c r="E258" s="1" t="n">
        <v>1401445526</v>
      </c>
    </row>
    <row r="259" customFormat="false" ht="15" hidden="false" customHeight="false" outlineLevel="0" collapsed="false">
      <c r="B259" s="10" t="n">
        <v>45205</v>
      </c>
      <c r="C259" s="1" t="s">
        <v>553</v>
      </c>
      <c r="D259" s="10" t="n">
        <v>41171</v>
      </c>
      <c r="E259" s="1" t="n">
        <v>1200541392</v>
      </c>
    </row>
    <row r="260" customFormat="false" ht="15" hidden="false" customHeight="false" outlineLevel="0" collapsed="false">
      <c r="B260" s="10" t="n">
        <v>45211</v>
      </c>
      <c r="C260" s="1" t="s">
        <v>554</v>
      </c>
      <c r="D260" s="10" t="n">
        <v>39515</v>
      </c>
      <c r="E260" s="1" t="n">
        <v>1401453851</v>
      </c>
    </row>
    <row r="261" customFormat="false" ht="15" hidden="false" customHeight="false" outlineLevel="0" collapsed="false">
      <c r="B261" s="10" t="n">
        <v>45212</v>
      </c>
      <c r="C261" s="1" t="s">
        <v>455</v>
      </c>
      <c r="D261" s="10" t="n">
        <v>16233</v>
      </c>
      <c r="E261" s="1" t="n">
        <v>1000385832</v>
      </c>
    </row>
    <row r="262" customFormat="false" ht="15" hidden="false" customHeight="false" outlineLevel="0" collapsed="false">
      <c r="A262" s="31" t="s">
        <v>538</v>
      </c>
      <c r="B262" s="10" t="n">
        <v>45213</v>
      </c>
      <c r="C262" s="1" t="s">
        <v>555</v>
      </c>
      <c r="D262" s="10" t="n">
        <v>36726</v>
      </c>
      <c r="E262" s="1" t="n">
        <v>1401456028</v>
      </c>
    </row>
    <row r="263" customFormat="false" ht="15" hidden="false" customHeight="false" outlineLevel="0" collapsed="false">
      <c r="A263" s="31" t="s">
        <v>538</v>
      </c>
      <c r="B263" s="10" t="n">
        <v>45214</v>
      </c>
      <c r="C263" s="1" t="s">
        <v>555</v>
      </c>
      <c r="D263" s="10" t="n">
        <v>36726</v>
      </c>
      <c r="E263" s="1" t="n">
        <v>1401456028</v>
      </c>
    </row>
    <row r="264" customFormat="false" ht="15" hidden="false" customHeight="false" outlineLevel="0" collapsed="false">
      <c r="A264" s="31" t="s">
        <v>538</v>
      </c>
      <c r="B264" s="10" t="n">
        <v>45213</v>
      </c>
      <c r="C264" s="1" t="s">
        <v>556</v>
      </c>
      <c r="D264" s="10" t="n">
        <v>36360</v>
      </c>
      <c r="E264" s="1" t="n">
        <v>1401456025</v>
      </c>
    </row>
    <row r="265" customFormat="false" ht="15" hidden="false" customHeight="false" outlineLevel="0" collapsed="false">
      <c r="A265" s="31" t="s">
        <v>538</v>
      </c>
      <c r="B265" s="10" t="n">
        <v>45214</v>
      </c>
      <c r="C265" s="1" t="s">
        <v>556</v>
      </c>
      <c r="D265" s="10" t="n">
        <v>36360</v>
      </c>
      <c r="E265" s="1" t="n">
        <v>1401456025</v>
      </c>
    </row>
    <row r="266" customFormat="false" ht="15" hidden="false" customHeight="false" outlineLevel="0" collapsed="false">
      <c r="B266" s="10" t="n">
        <v>45216</v>
      </c>
      <c r="C266" s="1" t="s">
        <v>557</v>
      </c>
      <c r="D266" s="10" t="n">
        <v>33866</v>
      </c>
      <c r="E266" s="1" t="n">
        <v>1203217452</v>
      </c>
    </row>
    <row r="267" customFormat="false" ht="15" hidden="false" customHeight="false" outlineLevel="0" collapsed="false">
      <c r="B267" s="10" t="n">
        <v>45216</v>
      </c>
      <c r="C267" s="1" t="s">
        <v>558</v>
      </c>
      <c r="D267" s="10" t="n">
        <v>41893</v>
      </c>
      <c r="E267" s="1" t="n">
        <v>1102495353</v>
      </c>
    </row>
    <row r="268" customFormat="false" ht="15" hidden="false" customHeight="false" outlineLevel="0" collapsed="false">
      <c r="B268" s="10" t="n">
        <v>45218</v>
      </c>
      <c r="C268" s="1" t="s">
        <v>559</v>
      </c>
      <c r="D268" s="10" t="n">
        <v>28334</v>
      </c>
      <c r="E268" s="1" t="n">
        <v>1008446837</v>
      </c>
    </row>
    <row r="269" customFormat="false" ht="15" hidden="false" customHeight="false" outlineLevel="0" collapsed="false">
      <c r="B269" s="10" t="n">
        <v>45219</v>
      </c>
      <c r="C269" s="1" t="s">
        <v>560</v>
      </c>
      <c r="D269" s="10" t="n">
        <v>38810</v>
      </c>
      <c r="E269" s="1" t="n">
        <v>1401463550</v>
      </c>
    </row>
    <row r="270" customFormat="false" ht="15" hidden="false" customHeight="false" outlineLevel="0" collapsed="false">
      <c r="B270" s="10" t="n">
        <v>45219</v>
      </c>
      <c r="C270" s="1" t="s">
        <v>561</v>
      </c>
      <c r="D270" s="10" t="n">
        <v>44614</v>
      </c>
      <c r="E270" s="1" t="n">
        <v>1401463776</v>
      </c>
    </row>
    <row r="271" customFormat="false" ht="15" hidden="false" customHeight="false" outlineLevel="0" collapsed="false">
      <c r="B271" s="10" t="n">
        <v>45220</v>
      </c>
      <c r="C271" s="1" t="s">
        <v>562</v>
      </c>
      <c r="D271" s="10" t="n">
        <v>29345</v>
      </c>
      <c r="E271" s="1" t="n">
        <v>1003908402</v>
      </c>
    </row>
    <row r="272" customFormat="false" ht="15" hidden="false" customHeight="false" outlineLevel="0" collapsed="false">
      <c r="B272" s="10" t="n">
        <v>45220</v>
      </c>
      <c r="C272" s="1" t="s">
        <v>556</v>
      </c>
      <c r="D272" s="10" t="n">
        <v>36360</v>
      </c>
      <c r="E272" s="1" t="n">
        <v>1401456025</v>
      </c>
    </row>
    <row r="273" customFormat="false" ht="15" hidden="false" customHeight="false" outlineLevel="0" collapsed="false">
      <c r="B273" s="10" t="n">
        <v>45223</v>
      </c>
      <c r="C273" s="1" t="s">
        <v>563</v>
      </c>
      <c r="D273" s="10" t="n">
        <v>33956</v>
      </c>
      <c r="E273" s="1" t="n">
        <v>1001790073</v>
      </c>
    </row>
    <row r="274" customFormat="false" ht="15" hidden="false" customHeight="true" outlineLevel="0" collapsed="false">
      <c r="A274" s="21" t="s">
        <v>62</v>
      </c>
      <c r="B274" s="10" t="n">
        <v>45223</v>
      </c>
      <c r="C274" s="1" t="s">
        <v>564</v>
      </c>
      <c r="D274" s="10" t="n">
        <v>38275</v>
      </c>
      <c r="E274" s="1" t="n">
        <v>1401468415</v>
      </c>
      <c r="F274" s="32" t="s">
        <v>136</v>
      </c>
      <c r="G274" s="21" t="s">
        <v>136</v>
      </c>
      <c r="H274" s="21" t="s">
        <v>136</v>
      </c>
      <c r="I274" s="21" t="s">
        <v>136</v>
      </c>
      <c r="J274" s="33"/>
      <c r="K274" s="21" t="s">
        <v>49</v>
      </c>
      <c r="L274" s="32" t="s">
        <v>565</v>
      </c>
      <c r="M274" s="18" t="s">
        <v>138</v>
      </c>
    </row>
    <row r="275" customFormat="false" ht="15" hidden="false" customHeight="false" outlineLevel="0" collapsed="false">
      <c r="A275" s="21"/>
      <c r="B275" s="10" t="n">
        <v>45223</v>
      </c>
      <c r="C275" s="1" t="s">
        <v>564</v>
      </c>
      <c r="D275" s="10" t="n">
        <v>38275</v>
      </c>
      <c r="E275" s="1" t="n">
        <v>1401468415</v>
      </c>
      <c r="F275" s="32"/>
      <c r="G275" s="21"/>
      <c r="H275" s="21"/>
      <c r="I275" s="21"/>
      <c r="J275" s="33"/>
      <c r="K275" s="21"/>
      <c r="L275" s="32"/>
      <c r="M275" s="18"/>
    </row>
    <row r="276" customFormat="false" ht="15" hidden="false" customHeight="false" outlineLevel="0" collapsed="false">
      <c r="B276" s="10" t="n">
        <v>45224</v>
      </c>
      <c r="C276" s="1" t="s">
        <v>566</v>
      </c>
      <c r="D276" s="10" t="n">
        <v>20498</v>
      </c>
      <c r="E276" s="1" t="n">
        <v>1000000674</v>
      </c>
    </row>
    <row r="277" customFormat="false" ht="15" hidden="false" customHeight="false" outlineLevel="0" collapsed="false">
      <c r="B277" s="10" t="n">
        <v>45224</v>
      </c>
      <c r="C277" s="1" t="s">
        <v>567</v>
      </c>
      <c r="D277" s="10" t="n">
        <v>39091</v>
      </c>
      <c r="E277" s="1" t="n">
        <v>1203471505</v>
      </c>
    </row>
    <row r="278" customFormat="false" ht="15" hidden="false" customHeight="false" outlineLevel="0" collapsed="false">
      <c r="B278" s="10" t="n">
        <v>45225</v>
      </c>
      <c r="C278" s="1" t="s">
        <v>568</v>
      </c>
      <c r="D278" s="10" t="n">
        <v>24266</v>
      </c>
      <c r="E278" s="1" t="n">
        <v>1100678544</v>
      </c>
    </row>
    <row r="279" customFormat="false" ht="15" hidden="false" customHeight="false" outlineLevel="0" collapsed="false">
      <c r="B279" s="10" t="n">
        <v>45225</v>
      </c>
      <c r="C279" s="1" t="s">
        <v>569</v>
      </c>
      <c r="D279" s="10" t="n">
        <v>39527</v>
      </c>
      <c r="E279" s="1" t="n">
        <v>1401471438</v>
      </c>
    </row>
    <row r="280" customFormat="false" ht="15" hidden="false" customHeight="false" outlineLevel="0" collapsed="false">
      <c r="B280" s="10" t="n">
        <v>45225</v>
      </c>
      <c r="C280" s="1" t="s">
        <v>570</v>
      </c>
      <c r="D280" s="10" t="n">
        <v>35771</v>
      </c>
      <c r="E280" s="1" t="n">
        <v>1401022896</v>
      </c>
    </row>
    <row r="281" customFormat="false" ht="15" hidden="false" customHeight="false" outlineLevel="0" collapsed="false">
      <c r="B281" s="10" t="n">
        <v>45226</v>
      </c>
      <c r="C281" s="1" t="s">
        <v>570</v>
      </c>
      <c r="D281" s="10" t="n">
        <v>35771</v>
      </c>
      <c r="E281" s="1" t="n">
        <v>1401022896</v>
      </c>
    </row>
    <row r="282" customFormat="false" ht="15" hidden="false" customHeight="false" outlineLevel="0" collapsed="false">
      <c r="B282" s="10" t="n">
        <v>45226</v>
      </c>
      <c r="C282" s="1" t="s">
        <v>571</v>
      </c>
      <c r="D282" s="10" t="n">
        <v>33618</v>
      </c>
      <c r="E282" s="1" t="n">
        <v>1401471800</v>
      </c>
    </row>
    <row r="283" customFormat="false" ht="15" hidden="false" customHeight="false" outlineLevel="0" collapsed="false">
      <c r="B283" s="10" t="n">
        <v>45226</v>
      </c>
      <c r="C283" s="1" t="s">
        <v>572</v>
      </c>
      <c r="D283" s="10" t="n">
        <v>44737</v>
      </c>
      <c r="E283" s="1" t="n">
        <v>1400827213</v>
      </c>
    </row>
    <row r="284" customFormat="false" ht="15" hidden="false" customHeight="false" outlineLevel="0" collapsed="false">
      <c r="B284" s="10" t="n">
        <v>45229</v>
      </c>
      <c r="C284" s="1" t="s">
        <v>573</v>
      </c>
      <c r="D284" s="10" t="n">
        <v>15708</v>
      </c>
      <c r="E284" s="1" t="n">
        <v>1001589925</v>
      </c>
    </row>
    <row r="285" customFormat="false" ht="39.5" hidden="false" customHeight="false" outlineLevel="0" collapsed="false">
      <c r="A285" s="1" t="s">
        <v>62</v>
      </c>
      <c r="B285" s="10" t="n">
        <v>45229</v>
      </c>
      <c r="C285" s="1" t="s">
        <v>574</v>
      </c>
      <c r="D285" s="10" t="n">
        <v>18369</v>
      </c>
      <c r="E285" s="1" t="n">
        <v>1400804569</v>
      </c>
      <c r="F285" s="2" t="s">
        <v>136</v>
      </c>
      <c r="G285" s="3" t="s">
        <v>136</v>
      </c>
      <c r="H285" s="3" t="s">
        <v>136</v>
      </c>
      <c r="I285" s="3" t="s">
        <v>136</v>
      </c>
      <c r="K285" s="1" t="s">
        <v>49</v>
      </c>
      <c r="L285" s="17" t="s">
        <v>575</v>
      </c>
      <c r="M285" s="3" t="s">
        <v>138</v>
      </c>
    </row>
    <row r="286" customFormat="false" ht="15" hidden="false" customHeight="false" outlineLevel="0" collapsed="false">
      <c r="A286" s="31" t="s">
        <v>538</v>
      </c>
      <c r="B286" s="10" t="n">
        <v>45230</v>
      </c>
      <c r="C286" s="1" t="s">
        <v>576</v>
      </c>
      <c r="D286" s="10" t="n">
        <v>38355</v>
      </c>
      <c r="E286" s="1" t="n">
        <v>1401476426</v>
      </c>
    </row>
    <row r="287" customFormat="false" ht="15" hidden="false" customHeight="false" outlineLevel="0" collapsed="false">
      <c r="B287" s="10" t="n">
        <v>45230</v>
      </c>
      <c r="C287" s="1" t="s">
        <v>577</v>
      </c>
      <c r="D287" s="10" t="n">
        <v>31309</v>
      </c>
      <c r="E287" s="1" t="n">
        <v>1003257484</v>
      </c>
    </row>
    <row r="288" customFormat="false" ht="15" hidden="false" customHeight="false" outlineLevel="0" collapsed="false">
      <c r="B288" s="10" t="n">
        <v>45231</v>
      </c>
      <c r="C288" s="1" t="s">
        <v>578</v>
      </c>
      <c r="D288" s="10" t="n">
        <v>16697</v>
      </c>
      <c r="E288" s="1" t="n">
        <v>1100854296</v>
      </c>
    </row>
    <row r="289" customFormat="false" ht="39.5" hidden="false" customHeight="false" outlineLevel="0" collapsed="false">
      <c r="A289" s="1" t="s">
        <v>62</v>
      </c>
      <c r="B289" s="10" t="n">
        <v>45231</v>
      </c>
      <c r="C289" s="1" t="s">
        <v>579</v>
      </c>
      <c r="D289" s="10" t="n">
        <v>11007</v>
      </c>
      <c r="E289" s="1" t="n">
        <v>1003836030</v>
      </c>
      <c r="F289" s="2" t="s">
        <v>136</v>
      </c>
      <c r="G289" s="3" t="s">
        <v>136</v>
      </c>
      <c r="H289" s="3" t="s">
        <v>136</v>
      </c>
      <c r="I289" s="3" t="s">
        <v>136</v>
      </c>
      <c r="K289" s="1" t="s">
        <v>49</v>
      </c>
      <c r="L289" s="17" t="s">
        <v>580</v>
      </c>
      <c r="M289" s="3" t="s">
        <v>138</v>
      </c>
    </row>
    <row r="290" customFormat="false" ht="15" hidden="false" customHeight="false" outlineLevel="0" collapsed="false">
      <c r="B290" s="10" t="n">
        <v>45231</v>
      </c>
      <c r="C290" s="1" t="s">
        <v>581</v>
      </c>
      <c r="D290" s="10" t="n">
        <v>36703</v>
      </c>
      <c r="E290" s="1" t="n">
        <v>1401478297</v>
      </c>
    </row>
    <row r="291" customFormat="false" ht="15" hidden="false" customHeight="false" outlineLevel="0" collapsed="false">
      <c r="B291" s="10" t="n">
        <v>45231</v>
      </c>
      <c r="C291" s="1" t="s">
        <v>582</v>
      </c>
      <c r="D291" s="10" t="n">
        <v>44310</v>
      </c>
      <c r="E291" s="1" t="n">
        <v>1400425818</v>
      </c>
    </row>
    <row r="292" customFormat="false" ht="15" hidden="false" customHeight="false" outlineLevel="0" collapsed="false">
      <c r="B292" s="10" t="n">
        <v>45231</v>
      </c>
      <c r="C292" s="1" t="s">
        <v>583</v>
      </c>
      <c r="D292" s="10" t="n">
        <v>16967</v>
      </c>
      <c r="E292" s="1" t="n">
        <v>1100724579</v>
      </c>
    </row>
    <row r="293" customFormat="false" ht="15" hidden="false" customHeight="false" outlineLevel="0" collapsed="false">
      <c r="B293" s="10" t="n">
        <v>45232</v>
      </c>
      <c r="C293" s="1" t="s">
        <v>583</v>
      </c>
      <c r="D293" s="10" t="n">
        <v>16967</v>
      </c>
      <c r="E293" s="1" t="n">
        <v>1100724579</v>
      </c>
    </row>
    <row r="294" customFormat="false" ht="15" hidden="false" customHeight="false" outlineLevel="0" collapsed="false">
      <c r="B294" s="10" t="n">
        <v>45232</v>
      </c>
      <c r="C294" s="1" t="s">
        <v>584</v>
      </c>
      <c r="D294" s="10" t="n">
        <v>29496</v>
      </c>
      <c r="E294" s="1" t="n">
        <v>1401478473</v>
      </c>
    </row>
    <row r="295" customFormat="false" ht="15" hidden="false" customHeight="false" outlineLevel="0" collapsed="false">
      <c r="A295" s="31" t="s">
        <v>538</v>
      </c>
      <c r="B295" s="10" t="n">
        <v>45233</v>
      </c>
      <c r="C295" s="1" t="s">
        <v>585</v>
      </c>
      <c r="D295" s="10" t="n">
        <v>30997</v>
      </c>
      <c r="E295" s="1" t="n">
        <v>1401334101</v>
      </c>
    </row>
    <row r="296" customFormat="false" ht="15" hidden="false" customHeight="false" outlineLevel="0" collapsed="false">
      <c r="A296" s="31" t="s">
        <v>538</v>
      </c>
      <c r="B296" s="10" t="n">
        <v>45234</v>
      </c>
      <c r="C296" s="1" t="s">
        <v>585</v>
      </c>
      <c r="D296" s="10" t="n">
        <v>30997</v>
      </c>
      <c r="E296" s="1" t="n">
        <v>1401334101</v>
      </c>
    </row>
    <row r="297" customFormat="false" ht="15" hidden="false" customHeight="false" outlineLevel="0" collapsed="false">
      <c r="B297" s="10" t="n">
        <v>45234</v>
      </c>
      <c r="C297" s="1" t="s">
        <v>586</v>
      </c>
      <c r="D297" s="10" t="n">
        <v>41758</v>
      </c>
      <c r="E297" s="1" t="n">
        <v>1401481611</v>
      </c>
    </row>
    <row r="298" customFormat="false" ht="15" hidden="false" customHeight="false" outlineLevel="0" collapsed="false">
      <c r="B298" s="10" t="n">
        <v>45237</v>
      </c>
      <c r="C298" s="1" t="s">
        <v>587</v>
      </c>
      <c r="D298" s="10" t="n">
        <v>36498</v>
      </c>
      <c r="E298" s="1" t="n">
        <v>1100311638</v>
      </c>
    </row>
    <row r="299" customFormat="false" ht="15" hidden="false" customHeight="false" outlineLevel="0" collapsed="false">
      <c r="B299" s="10" t="n">
        <v>45237</v>
      </c>
      <c r="C299" s="1" t="s">
        <v>588</v>
      </c>
      <c r="D299" s="10" t="n">
        <v>39604</v>
      </c>
      <c r="E299" s="1" t="n">
        <v>1010026754</v>
      </c>
    </row>
    <row r="300" customFormat="false" ht="15" hidden="false" customHeight="false" outlineLevel="0" collapsed="false">
      <c r="B300" s="10" t="n">
        <v>45238</v>
      </c>
      <c r="C300" s="1" t="s">
        <v>589</v>
      </c>
      <c r="D300" s="10" t="n">
        <v>38034</v>
      </c>
      <c r="E300" s="1" t="n">
        <v>1401486833</v>
      </c>
    </row>
    <row r="301" customFormat="false" ht="15" hidden="false" customHeight="false" outlineLevel="0" collapsed="false">
      <c r="B301" s="10" t="n">
        <v>45239</v>
      </c>
      <c r="C301" s="1" t="s">
        <v>590</v>
      </c>
      <c r="D301" s="10" t="n">
        <v>21244</v>
      </c>
      <c r="E301" s="1" t="n">
        <v>1401486927</v>
      </c>
    </row>
    <row r="302" customFormat="false" ht="15" hidden="false" customHeight="false" outlineLevel="0" collapsed="false">
      <c r="B302" s="10" t="n">
        <v>45240</v>
      </c>
      <c r="C302" s="1" t="s">
        <v>591</v>
      </c>
      <c r="D302" s="10" t="n">
        <v>37867</v>
      </c>
      <c r="E302" s="1" t="n">
        <v>1009799655</v>
      </c>
    </row>
    <row r="303" customFormat="false" ht="15" hidden="false" customHeight="false" outlineLevel="0" collapsed="false">
      <c r="B303" s="10" t="n">
        <v>45244</v>
      </c>
      <c r="C303" s="1" t="s">
        <v>592</v>
      </c>
      <c r="D303" s="10" t="n">
        <v>38496</v>
      </c>
      <c r="E303" s="1" t="n">
        <v>1401492587</v>
      </c>
    </row>
    <row r="304" customFormat="false" ht="15" hidden="false" customHeight="false" outlineLevel="0" collapsed="false">
      <c r="B304" s="10" t="n">
        <v>45244</v>
      </c>
      <c r="C304" s="1" t="s">
        <v>593</v>
      </c>
      <c r="D304" s="10" t="n">
        <v>23924</v>
      </c>
      <c r="E304" s="1" t="n">
        <v>1400524074</v>
      </c>
    </row>
    <row r="305" customFormat="false" ht="27" hidden="false" customHeight="false" outlineLevel="0" collapsed="false">
      <c r="B305" s="10" t="n">
        <v>45245</v>
      </c>
      <c r="C305" s="1" t="s">
        <v>594</v>
      </c>
      <c r="D305" s="10" t="n">
        <v>40011</v>
      </c>
      <c r="E305" s="1" t="n">
        <v>1009279120</v>
      </c>
      <c r="F305" s="2" t="s">
        <v>595</v>
      </c>
    </row>
    <row r="306" customFormat="false" ht="15" hidden="false" customHeight="false" outlineLevel="0" collapsed="false">
      <c r="B306" s="10" t="n">
        <v>45245</v>
      </c>
      <c r="C306" s="1" t="s">
        <v>596</v>
      </c>
      <c r="D306" s="10" t="n">
        <v>40707</v>
      </c>
      <c r="E306" s="1" t="n">
        <v>1401286287</v>
      </c>
    </row>
    <row r="307" customFormat="false" ht="15" hidden="false" customHeight="false" outlineLevel="0" collapsed="false">
      <c r="B307" s="10" t="n">
        <v>45246</v>
      </c>
      <c r="C307" s="1" t="s">
        <v>597</v>
      </c>
      <c r="D307" s="10" t="n">
        <v>39701</v>
      </c>
      <c r="E307" s="1" t="n">
        <v>1102881141</v>
      </c>
    </row>
    <row r="308" customFormat="false" ht="15" hidden="false" customHeight="false" outlineLevel="0" collapsed="false">
      <c r="B308" s="10" t="n">
        <v>45249</v>
      </c>
      <c r="C308" s="1" t="s">
        <v>598</v>
      </c>
      <c r="D308" s="10" t="n">
        <v>13651</v>
      </c>
      <c r="E308" s="1" t="n">
        <v>1006725063</v>
      </c>
    </row>
    <row r="309" customFormat="false" ht="15" hidden="false" customHeight="false" outlineLevel="0" collapsed="false">
      <c r="B309" s="10" t="n">
        <v>45251</v>
      </c>
      <c r="C309" s="1" t="s">
        <v>598</v>
      </c>
      <c r="D309" s="10" t="n">
        <v>13651</v>
      </c>
      <c r="E309" s="1" t="n">
        <v>1006725063</v>
      </c>
    </row>
    <row r="310" customFormat="false" ht="15" hidden="false" customHeight="false" outlineLevel="0" collapsed="false">
      <c r="B310" s="10" t="n">
        <v>45251</v>
      </c>
      <c r="C310" s="1" t="s">
        <v>599</v>
      </c>
      <c r="D310" s="10" t="n">
        <v>39095</v>
      </c>
      <c r="E310" s="1" t="n">
        <v>1101016449</v>
      </c>
    </row>
    <row r="311" customFormat="false" ht="15" hidden="false" customHeight="false" outlineLevel="0" collapsed="false">
      <c r="B311" s="10" t="n">
        <v>45252</v>
      </c>
      <c r="C311" s="1" t="s">
        <v>600</v>
      </c>
      <c r="D311" s="10" t="n">
        <v>18347</v>
      </c>
      <c r="E311" s="1" t="n">
        <v>1000199669</v>
      </c>
    </row>
    <row r="312" customFormat="false" ht="15" hidden="false" customHeight="false" outlineLevel="0" collapsed="false">
      <c r="B312" s="10" t="n">
        <v>45252</v>
      </c>
      <c r="C312" s="1" t="s">
        <v>601</v>
      </c>
      <c r="D312" s="10" t="n">
        <v>15136</v>
      </c>
      <c r="E312" s="1" t="n">
        <v>1401483662</v>
      </c>
    </row>
    <row r="313" customFormat="false" ht="15" hidden="false" customHeight="false" outlineLevel="0" collapsed="false">
      <c r="B313" s="10" t="n">
        <v>45252</v>
      </c>
      <c r="C313" s="1" t="s">
        <v>602</v>
      </c>
      <c r="D313" s="10" t="n">
        <v>21320</v>
      </c>
      <c r="E313" s="1" t="n">
        <v>1000102475</v>
      </c>
    </row>
    <row r="314" customFormat="false" ht="15" hidden="false" customHeight="false" outlineLevel="0" collapsed="false">
      <c r="B314" s="10" t="n">
        <v>45258</v>
      </c>
      <c r="C314" s="1" t="s">
        <v>603</v>
      </c>
      <c r="D314" s="1" t="s">
        <v>604</v>
      </c>
      <c r="E314" s="1" t="n">
        <v>1401506900</v>
      </c>
    </row>
    <row r="315" customFormat="false" ht="15" hidden="false" customHeight="false" outlineLevel="0" collapsed="false">
      <c r="B315" s="10" t="n">
        <v>45259</v>
      </c>
      <c r="C315" s="1" t="s">
        <v>605</v>
      </c>
      <c r="D315" s="1" t="s">
        <v>604</v>
      </c>
      <c r="E315" s="1" t="n">
        <v>1401506900</v>
      </c>
    </row>
    <row r="316" customFormat="false" ht="15" hidden="false" customHeight="false" outlineLevel="0" collapsed="false">
      <c r="B316" s="10" t="n">
        <v>45258</v>
      </c>
      <c r="C316" s="1" t="s">
        <v>606</v>
      </c>
      <c r="D316" s="10" t="n">
        <v>28126</v>
      </c>
      <c r="E316" s="1" t="n">
        <v>1401504464</v>
      </c>
    </row>
    <row r="317" customFormat="false" ht="15" hidden="false" customHeight="false" outlineLevel="0" collapsed="false">
      <c r="B317" s="10" t="n">
        <v>45259</v>
      </c>
      <c r="C317" s="1" t="s">
        <v>607</v>
      </c>
      <c r="D317" s="10" t="n">
        <v>39413</v>
      </c>
      <c r="E317" s="1" t="n">
        <v>1401508622</v>
      </c>
    </row>
    <row r="318" customFormat="false" ht="15" hidden="false" customHeight="false" outlineLevel="0" collapsed="false">
      <c r="B318" s="10" t="n">
        <v>45259</v>
      </c>
      <c r="C318" s="1" t="s">
        <v>608</v>
      </c>
      <c r="D318" s="10" t="n">
        <v>24068</v>
      </c>
      <c r="E318" s="1" t="n">
        <v>1008386258</v>
      </c>
    </row>
    <row r="319" customFormat="false" ht="15" hidden="false" customHeight="false" outlineLevel="0" collapsed="false">
      <c r="B319" s="10" t="n">
        <v>45261</v>
      </c>
      <c r="C319" s="1" t="s">
        <v>609</v>
      </c>
      <c r="D319" s="10" t="n">
        <v>29920</v>
      </c>
      <c r="E319" s="1" t="n">
        <v>1009472527</v>
      </c>
    </row>
    <row r="320" customFormat="false" ht="15" hidden="false" customHeight="false" outlineLevel="0" collapsed="false">
      <c r="B320" s="10" t="n">
        <v>45261</v>
      </c>
      <c r="C320" s="1" t="s">
        <v>610</v>
      </c>
      <c r="D320" s="10" t="n">
        <v>32630</v>
      </c>
      <c r="E320" s="1" t="n">
        <v>1103332494</v>
      </c>
    </row>
    <row r="321" customFormat="false" ht="15" hidden="false" customHeight="false" outlineLevel="0" collapsed="false">
      <c r="B321" s="10" t="n">
        <v>45262</v>
      </c>
      <c r="C321" s="1" t="s">
        <v>611</v>
      </c>
      <c r="D321" s="10" t="n">
        <v>18445</v>
      </c>
      <c r="E321" s="1" t="n">
        <v>1007162720</v>
      </c>
    </row>
    <row r="322" customFormat="false" ht="15" hidden="false" customHeight="false" outlineLevel="0" collapsed="false">
      <c r="A322" s="31" t="s">
        <v>538</v>
      </c>
      <c r="B322" s="10" t="n">
        <v>45262</v>
      </c>
      <c r="C322" s="1" t="s">
        <v>612</v>
      </c>
      <c r="D322" s="10" t="n">
        <v>12986</v>
      </c>
      <c r="E322" s="1" t="n">
        <v>1005596669</v>
      </c>
    </row>
    <row r="323" customFormat="false" ht="15" hidden="false" customHeight="false" outlineLevel="0" collapsed="false">
      <c r="A323" s="1" t="s">
        <v>62</v>
      </c>
      <c r="B323" s="10" t="n">
        <v>45262</v>
      </c>
      <c r="C323" s="1" t="s">
        <v>613</v>
      </c>
      <c r="D323" s="10" t="n">
        <v>44531</v>
      </c>
      <c r="E323" s="1" t="n">
        <v>1400613801</v>
      </c>
      <c r="F323" s="2" t="s">
        <v>614</v>
      </c>
      <c r="G323" s="3" t="s">
        <v>615</v>
      </c>
      <c r="H323" s="3" t="s">
        <v>616</v>
      </c>
      <c r="K323" s="1" t="s">
        <v>49</v>
      </c>
    </row>
    <row r="324" customFormat="false" ht="15" hidden="false" customHeight="false" outlineLevel="0" collapsed="false">
      <c r="B324" s="10" t="n">
        <v>45263</v>
      </c>
      <c r="C324" s="1" t="s">
        <v>617</v>
      </c>
      <c r="D324" s="10" t="n">
        <v>36332</v>
      </c>
      <c r="E324" s="1" t="n">
        <v>1005302623</v>
      </c>
    </row>
    <row r="325" customFormat="false" ht="15" hidden="false" customHeight="false" outlineLevel="0" collapsed="false">
      <c r="B325" s="10" t="n">
        <v>45264</v>
      </c>
      <c r="C325" s="1" t="s">
        <v>618</v>
      </c>
      <c r="D325" s="10" t="n">
        <v>44766</v>
      </c>
      <c r="E325" s="1" t="n">
        <v>1401513886</v>
      </c>
    </row>
    <row r="326" customFormat="false" ht="15" hidden="false" customHeight="false" outlineLevel="0" collapsed="false">
      <c r="B326" s="10" t="n">
        <v>45264</v>
      </c>
      <c r="C326" s="1" t="s">
        <v>619</v>
      </c>
      <c r="D326" s="10" t="n">
        <v>37681</v>
      </c>
      <c r="E326" s="1" t="n">
        <v>1401513881</v>
      </c>
    </row>
    <row r="327" customFormat="false" ht="15" hidden="false" customHeight="false" outlineLevel="0" collapsed="false">
      <c r="A327" s="31" t="s">
        <v>538</v>
      </c>
      <c r="B327" s="10" t="n">
        <v>45264</v>
      </c>
      <c r="C327" s="1" t="s">
        <v>620</v>
      </c>
      <c r="D327" s="10" t="n">
        <v>32401</v>
      </c>
      <c r="E327" s="1" t="n">
        <v>1401513803</v>
      </c>
    </row>
    <row r="328" customFormat="false" ht="15" hidden="false" customHeight="false" outlineLevel="0" collapsed="false">
      <c r="B328" s="10" t="n">
        <v>45264</v>
      </c>
      <c r="C328" s="1" t="s">
        <v>621</v>
      </c>
      <c r="D328" s="10" t="n">
        <v>34571</v>
      </c>
      <c r="E328" s="1" t="n">
        <v>1102906622</v>
      </c>
    </row>
    <row r="329" customFormat="false" ht="15" hidden="false" customHeight="false" outlineLevel="0" collapsed="false">
      <c r="B329" s="10" t="n">
        <v>45264</v>
      </c>
      <c r="C329" s="1" t="s">
        <v>622</v>
      </c>
      <c r="D329" s="10" t="n">
        <v>44792</v>
      </c>
      <c r="E329" s="1" t="n">
        <v>1400895729</v>
      </c>
    </row>
    <row r="330" customFormat="false" ht="15" hidden="false" customHeight="false" outlineLevel="0" collapsed="false">
      <c r="B330" s="10" t="n">
        <v>45264</v>
      </c>
      <c r="C330" s="1" t="s">
        <v>623</v>
      </c>
      <c r="D330" s="10" t="n">
        <v>38760</v>
      </c>
      <c r="E330" s="1" t="n">
        <v>1008588361</v>
      </c>
    </row>
    <row r="331" customFormat="false" ht="15" hidden="false" customHeight="false" outlineLevel="0" collapsed="false">
      <c r="B331" s="10" t="n">
        <v>45264</v>
      </c>
      <c r="C331" s="1" t="s">
        <v>624</v>
      </c>
      <c r="D331" s="10" t="n">
        <v>44950</v>
      </c>
      <c r="E331" s="1" t="n">
        <v>1401082105</v>
      </c>
    </row>
    <row r="332" customFormat="false" ht="52" hidden="false" customHeight="false" outlineLevel="0" collapsed="false">
      <c r="A332" s="1" t="s">
        <v>62</v>
      </c>
      <c r="B332" s="10" t="n">
        <v>45291</v>
      </c>
      <c r="C332" s="1" t="s">
        <v>625</v>
      </c>
      <c r="D332" s="10" t="n">
        <v>22491</v>
      </c>
      <c r="E332" s="1" t="n">
        <v>1007666496</v>
      </c>
      <c r="F332" s="2" t="s">
        <v>136</v>
      </c>
      <c r="G332" s="3" t="s">
        <v>136</v>
      </c>
      <c r="H332" s="3" t="s">
        <v>136</v>
      </c>
      <c r="I332" s="3" t="s">
        <v>136</v>
      </c>
      <c r="K332" s="1" t="s">
        <v>49</v>
      </c>
      <c r="L332" s="17" t="s">
        <v>626</v>
      </c>
      <c r="M332" s="3" t="s">
        <v>138</v>
      </c>
    </row>
    <row r="333" customFormat="false" ht="15" hidden="false" customHeight="false" outlineLevel="0" collapsed="false">
      <c r="B333" s="10" t="n">
        <v>45291</v>
      </c>
      <c r="C333" s="1" t="s">
        <v>627</v>
      </c>
      <c r="D333" s="10" t="n">
        <v>34884</v>
      </c>
      <c r="E333" s="1" t="n">
        <v>1006812021</v>
      </c>
    </row>
    <row r="334" customFormat="false" ht="15" hidden="false" customHeight="false" outlineLevel="0" collapsed="false">
      <c r="B334" s="10" t="n">
        <v>45292</v>
      </c>
      <c r="C334" s="1" t="s">
        <v>628</v>
      </c>
      <c r="D334" s="10" t="n">
        <v>27570</v>
      </c>
      <c r="E334" s="1" t="n">
        <v>1401327765</v>
      </c>
    </row>
    <row r="335" customFormat="false" ht="15" hidden="false" customHeight="false" outlineLevel="0" collapsed="false">
      <c r="B335" s="10" t="n">
        <v>45292</v>
      </c>
      <c r="C335" s="1" t="s">
        <v>629</v>
      </c>
      <c r="D335" s="10" t="n">
        <v>37487</v>
      </c>
      <c r="E335" s="1" t="n">
        <v>1006035338</v>
      </c>
    </row>
    <row r="336" customFormat="false" ht="15" hidden="false" customHeight="false" outlineLevel="0" collapsed="false">
      <c r="B336" s="10" t="n">
        <v>45295</v>
      </c>
      <c r="C336" s="1" t="s">
        <v>630</v>
      </c>
      <c r="D336" s="10" t="n">
        <v>44284</v>
      </c>
      <c r="E336" s="1" t="n">
        <v>1400590711</v>
      </c>
    </row>
    <row r="337" customFormat="false" ht="15" hidden="false" customHeight="false" outlineLevel="0" collapsed="false">
      <c r="B337" s="10" t="n">
        <v>45295</v>
      </c>
      <c r="C337" s="1" t="s">
        <v>631</v>
      </c>
      <c r="D337" s="10" t="n">
        <v>21861</v>
      </c>
      <c r="E337" s="1" t="n">
        <v>1004002007</v>
      </c>
    </row>
    <row r="338" customFormat="false" ht="15" hidden="false" customHeight="false" outlineLevel="0" collapsed="false">
      <c r="B338" s="10" t="n">
        <v>45295</v>
      </c>
      <c r="C338" s="1" t="s">
        <v>632</v>
      </c>
      <c r="D338" s="10" t="n">
        <v>38428</v>
      </c>
      <c r="E338" s="1" t="n">
        <v>1401467801</v>
      </c>
    </row>
    <row r="339" customFormat="false" ht="15" hidden="false" customHeight="false" outlineLevel="0" collapsed="false">
      <c r="B339" s="10" t="n">
        <v>45296</v>
      </c>
      <c r="C339" s="1" t="s">
        <v>633</v>
      </c>
      <c r="D339" s="10" t="n">
        <v>39923</v>
      </c>
      <c r="E339" s="1" t="n">
        <v>1010227963</v>
      </c>
    </row>
    <row r="340" customFormat="false" ht="15" hidden="false" customHeight="false" outlineLevel="0" collapsed="false">
      <c r="B340" s="10" t="n">
        <v>45296</v>
      </c>
      <c r="C340" s="1" t="s">
        <v>634</v>
      </c>
      <c r="D340" s="10" t="n">
        <v>24476</v>
      </c>
      <c r="E340" s="1" t="n">
        <v>1400435816</v>
      </c>
    </row>
    <row r="341" customFormat="false" ht="15" hidden="false" customHeight="false" outlineLevel="0" collapsed="false">
      <c r="B341" s="10" t="n">
        <v>45296</v>
      </c>
      <c r="C341" s="1" t="s">
        <v>635</v>
      </c>
      <c r="D341" s="10" t="n">
        <v>22136</v>
      </c>
      <c r="E341" s="1" t="n">
        <v>1000147238</v>
      </c>
    </row>
    <row r="342" customFormat="false" ht="15" hidden="false" customHeight="false" outlineLevel="0" collapsed="false">
      <c r="B342" s="10" t="n">
        <v>45299</v>
      </c>
      <c r="C342" s="1" t="s">
        <v>636</v>
      </c>
      <c r="D342" s="10" t="n">
        <v>36115</v>
      </c>
      <c r="E342" s="1" t="n">
        <v>1205104491</v>
      </c>
    </row>
    <row r="343" customFormat="false" ht="15" hidden="false" customHeight="false" outlineLevel="0" collapsed="false">
      <c r="B343" s="10" t="n">
        <v>45299</v>
      </c>
      <c r="C343" s="1" t="s">
        <v>637</v>
      </c>
      <c r="D343" s="10" t="n">
        <v>33899</v>
      </c>
      <c r="E343" s="1" t="n">
        <v>1401551827</v>
      </c>
    </row>
    <row r="344" customFormat="false" ht="15" hidden="false" customHeight="false" outlineLevel="0" collapsed="false">
      <c r="B344" s="10" t="n">
        <v>45299</v>
      </c>
      <c r="C344" s="1" t="s">
        <v>638</v>
      </c>
      <c r="D344" s="10" t="n">
        <v>33011</v>
      </c>
      <c r="E344" s="1" t="n">
        <v>1401449061</v>
      </c>
    </row>
    <row r="345" customFormat="false" ht="15" hidden="false" customHeight="false" outlineLevel="0" collapsed="false">
      <c r="B345" s="10" t="n">
        <v>45299</v>
      </c>
      <c r="C345" s="1" t="s">
        <v>639</v>
      </c>
      <c r="D345" s="10" t="n">
        <v>38703</v>
      </c>
      <c r="E345" s="1" t="n">
        <v>1007526839</v>
      </c>
    </row>
    <row r="346" customFormat="false" ht="15" hidden="false" customHeight="false" outlineLevel="0" collapsed="false">
      <c r="B346" s="10" t="n">
        <v>45301</v>
      </c>
      <c r="C346" s="1" t="s">
        <v>640</v>
      </c>
      <c r="D346" s="10" t="n">
        <v>39892</v>
      </c>
      <c r="E346" s="1" t="n">
        <v>1009101971</v>
      </c>
    </row>
    <row r="347" customFormat="false" ht="15" hidden="false" customHeight="false" outlineLevel="0" collapsed="false">
      <c r="B347" s="10" t="n">
        <v>45301</v>
      </c>
      <c r="C347" s="1" t="s">
        <v>641</v>
      </c>
      <c r="D347" s="10" t="n">
        <v>31310</v>
      </c>
      <c r="E347" s="1" t="n">
        <v>1008392736</v>
      </c>
    </row>
    <row r="348" customFormat="false" ht="15" hidden="false" customHeight="false" outlineLevel="0" collapsed="false">
      <c r="B348" s="10" t="n">
        <v>45304</v>
      </c>
      <c r="C348" s="1" t="s">
        <v>642</v>
      </c>
      <c r="D348" s="10" t="n">
        <v>37089</v>
      </c>
      <c r="E348" s="1" t="n">
        <v>1007223995</v>
      </c>
    </row>
    <row r="349" customFormat="false" ht="15" hidden="false" customHeight="false" outlineLevel="0" collapsed="false">
      <c r="B349" s="10" t="n">
        <v>45304</v>
      </c>
      <c r="C349" s="1" t="s">
        <v>643</v>
      </c>
      <c r="D349" s="10" t="n">
        <v>41836</v>
      </c>
      <c r="E349" s="1" t="n">
        <v>1203425037</v>
      </c>
    </row>
    <row r="350" customFormat="false" ht="15" hidden="false" customHeight="false" outlineLevel="0" collapsed="false">
      <c r="B350" s="10" t="n">
        <v>45304</v>
      </c>
      <c r="C350" s="1" t="s">
        <v>644</v>
      </c>
      <c r="D350" s="10" t="n">
        <v>41494</v>
      </c>
      <c r="E350" s="1" t="n">
        <v>1101145852</v>
      </c>
    </row>
    <row r="351" customFormat="false" ht="15" hidden="false" customHeight="false" outlineLevel="0" collapsed="false">
      <c r="B351" s="10" t="n">
        <v>45305</v>
      </c>
      <c r="C351" s="1" t="s">
        <v>645</v>
      </c>
      <c r="D351" s="10" t="n">
        <v>39406</v>
      </c>
      <c r="E351" s="1" t="n">
        <v>1401537917</v>
      </c>
    </row>
    <row r="352" customFormat="false" ht="15" hidden="false" customHeight="false" outlineLevel="0" collapsed="false">
      <c r="B352" s="10" t="n">
        <v>45305</v>
      </c>
      <c r="C352" s="1" t="s">
        <v>646</v>
      </c>
      <c r="D352" s="10" t="n">
        <v>43840</v>
      </c>
      <c r="E352" s="1" t="n">
        <v>1401560546</v>
      </c>
    </row>
    <row r="353" customFormat="false" ht="15" hidden="false" customHeight="false" outlineLevel="0" collapsed="false">
      <c r="B353" s="10" t="n">
        <v>45306</v>
      </c>
      <c r="C353" s="1" t="s">
        <v>647</v>
      </c>
      <c r="D353" s="10" t="n">
        <v>37801</v>
      </c>
      <c r="E353" s="1" t="n">
        <v>1401560903</v>
      </c>
    </row>
    <row r="354" customFormat="false" ht="15" hidden="false" customHeight="false" outlineLevel="0" collapsed="false">
      <c r="B354" s="10" t="n">
        <v>45306</v>
      </c>
      <c r="C354" s="1" t="s">
        <v>648</v>
      </c>
      <c r="D354" s="10" t="n">
        <v>39510</v>
      </c>
      <c r="E354" s="1" t="n">
        <v>1203858464</v>
      </c>
    </row>
    <row r="355" customFormat="false" ht="15" hidden="false" customHeight="false" outlineLevel="0" collapsed="false">
      <c r="B355" s="10" t="n">
        <v>45307</v>
      </c>
      <c r="C355" s="1" t="s">
        <v>649</v>
      </c>
      <c r="D355" s="10" t="n">
        <v>44955</v>
      </c>
      <c r="E355" s="1" t="n">
        <v>1401091309</v>
      </c>
    </row>
    <row r="356" customFormat="false" ht="15" hidden="false" customHeight="false" outlineLevel="0" collapsed="false">
      <c r="B356" s="10" t="n">
        <v>45310</v>
      </c>
      <c r="C356" s="1" t="s">
        <v>650</v>
      </c>
      <c r="D356" s="10" t="n">
        <v>29801</v>
      </c>
      <c r="E356" s="1" t="n">
        <v>1007874844</v>
      </c>
    </row>
    <row r="357" customFormat="false" ht="15" hidden="false" customHeight="false" outlineLevel="0" collapsed="false">
      <c r="B357" s="10" t="n">
        <v>45311</v>
      </c>
      <c r="C357" s="1" t="s">
        <v>651</v>
      </c>
      <c r="D357" s="10" t="n">
        <v>44835</v>
      </c>
      <c r="E357" s="1" t="n">
        <v>1401015827</v>
      </c>
    </row>
    <row r="358" customFormat="false" ht="15" hidden="false" customHeight="false" outlineLevel="0" collapsed="false">
      <c r="B358" s="10" t="n">
        <v>45311</v>
      </c>
      <c r="C358" s="1" t="s">
        <v>652</v>
      </c>
      <c r="D358" s="10" t="n">
        <v>25365</v>
      </c>
      <c r="E358" s="1" t="n">
        <v>1401568903</v>
      </c>
    </row>
    <row r="359" customFormat="false" ht="15" hidden="false" customHeight="false" outlineLevel="0" collapsed="false">
      <c r="B359" s="10" t="n">
        <v>45311</v>
      </c>
      <c r="C359" s="1" t="s">
        <v>653</v>
      </c>
      <c r="D359" s="10" t="n">
        <v>29459</v>
      </c>
      <c r="E359" s="1" t="n">
        <v>1401569381</v>
      </c>
    </row>
    <row r="360" customFormat="false" ht="15" hidden="false" customHeight="false" outlineLevel="0" collapsed="false">
      <c r="B360" s="10" t="n">
        <v>45311</v>
      </c>
      <c r="C360" s="1" t="s">
        <v>654</v>
      </c>
      <c r="D360" s="10" t="n">
        <v>39119</v>
      </c>
      <c r="E360" s="1" t="n">
        <v>1011002745</v>
      </c>
    </row>
    <row r="361" customFormat="false" ht="15" hidden="false" customHeight="false" outlineLevel="0" collapsed="false">
      <c r="B361" s="10" t="n">
        <v>45312</v>
      </c>
      <c r="C361" s="1" t="s">
        <v>655</v>
      </c>
      <c r="D361" s="10" t="n">
        <v>18102</v>
      </c>
      <c r="E361" s="1" t="n">
        <v>1010294588</v>
      </c>
    </row>
    <row r="362" customFormat="false" ht="15" hidden="false" customHeight="false" outlineLevel="0" collapsed="false">
      <c r="B362" s="10" t="n">
        <v>45312</v>
      </c>
      <c r="C362" s="1" t="s">
        <v>656</v>
      </c>
      <c r="D362" s="10" t="n">
        <v>38532</v>
      </c>
      <c r="E362" s="1" t="n">
        <v>1008433669</v>
      </c>
    </row>
    <row r="363" customFormat="false" ht="15" hidden="false" customHeight="false" outlineLevel="0" collapsed="false">
      <c r="B363" s="10" t="n">
        <v>45313</v>
      </c>
      <c r="C363" s="1" t="s">
        <v>657</v>
      </c>
      <c r="D363" s="10" t="n">
        <v>32418</v>
      </c>
      <c r="E363" s="1" t="n">
        <v>1005046523</v>
      </c>
    </row>
    <row r="364" customFormat="false" ht="15" hidden="false" customHeight="false" outlineLevel="0" collapsed="false">
      <c r="B364" s="10" t="n">
        <v>45313</v>
      </c>
      <c r="C364" s="1" t="s">
        <v>658</v>
      </c>
      <c r="D364" s="10" t="n">
        <v>29086</v>
      </c>
      <c r="E364" s="1" t="n">
        <v>1401570814</v>
      </c>
    </row>
    <row r="365" customFormat="false" ht="15" hidden="false" customHeight="false" outlineLevel="0" collapsed="false">
      <c r="B365" s="10" t="n">
        <v>45313</v>
      </c>
      <c r="C365" s="1" t="s">
        <v>659</v>
      </c>
      <c r="D365" s="10" t="n">
        <v>40389</v>
      </c>
      <c r="E365" s="1" t="n">
        <v>1401554279</v>
      </c>
    </row>
    <row r="366" customFormat="false" ht="15" hidden="false" customHeight="false" outlineLevel="0" collapsed="false">
      <c r="B366" s="10" t="n">
        <v>45313</v>
      </c>
      <c r="C366" s="1" t="s">
        <v>660</v>
      </c>
      <c r="D366" s="10" t="n">
        <v>33615</v>
      </c>
      <c r="E366" s="1" t="n">
        <v>1100560241</v>
      </c>
    </row>
    <row r="367" customFormat="false" ht="15" hidden="false" customHeight="false" outlineLevel="0" collapsed="false">
      <c r="B367" s="10" t="n">
        <v>45314</v>
      </c>
      <c r="C367" s="1" t="s">
        <v>660</v>
      </c>
      <c r="D367" s="10" t="n">
        <v>33615</v>
      </c>
      <c r="E367" s="1" t="n">
        <v>1100560241</v>
      </c>
    </row>
    <row r="368" customFormat="false" ht="15" hidden="false" customHeight="false" outlineLevel="0" collapsed="false">
      <c r="B368" s="10" t="n">
        <v>45315</v>
      </c>
      <c r="C368" s="1" t="s">
        <v>660</v>
      </c>
      <c r="D368" s="10" t="n">
        <v>33615</v>
      </c>
      <c r="E368" s="1" t="n">
        <v>1100560241</v>
      </c>
    </row>
    <row r="369" customFormat="false" ht="15" hidden="false" customHeight="false" outlineLevel="0" collapsed="false">
      <c r="B369" s="10" t="n">
        <v>45314</v>
      </c>
      <c r="C369" s="1" t="s">
        <v>652</v>
      </c>
      <c r="D369" s="10" t="n">
        <v>25365</v>
      </c>
      <c r="E369" s="1" t="n">
        <v>1401568903</v>
      </c>
    </row>
    <row r="370" customFormat="false" ht="15" hidden="false" customHeight="false" outlineLevel="0" collapsed="false">
      <c r="B370" s="10" t="n">
        <v>45315</v>
      </c>
      <c r="C370" s="1" t="s">
        <v>661</v>
      </c>
      <c r="D370" s="10" t="n">
        <v>32575</v>
      </c>
      <c r="E370" s="1" t="n">
        <v>1009413907</v>
      </c>
    </row>
    <row r="371" customFormat="false" ht="15" hidden="false" customHeight="false" outlineLevel="0" collapsed="false">
      <c r="B371" s="10" t="n">
        <v>45316</v>
      </c>
      <c r="C371" s="1" t="s">
        <v>662</v>
      </c>
      <c r="D371" s="10" t="n">
        <v>24600</v>
      </c>
      <c r="E371" s="1" t="n">
        <v>1001784527</v>
      </c>
    </row>
    <row r="372" customFormat="false" ht="15" hidden="false" customHeight="false" outlineLevel="0" collapsed="false">
      <c r="B372" s="10" t="n">
        <v>45316</v>
      </c>
      <c r="C372" s="1" t="s">
        <v>663</v>
      </c>
      <c r="D372" s="10" t="n">
        <v>28186</v>
      </c>
      <c r="E372" s="1" t="n">
        <v>1401576304</v>
      </c>
    </row>
    <row r="373" customFormat="false" ht="15" hidden="false" customHeight="false" outlineLevel="0" collapsed="false">
      <c r="B373" s="10" t="n">
        <v>45316</v>
      </c>
      <c r="C373" s="1" t="s">
        <v>664</v>
      </c>
      <c r="D373" s="10" t="n">
        <v>38572</v>
      </c>
      <c r="E373" s="1" t="n">
        <v>1401576332</v>
      </c>
    </row>
    <row r="374" customFormat="false" ht="15" hidden="false" customHeight="false" outlineLevel="0" collapsed="false">
      <c r="B374" s="10" t="n">
        <v>45317</v>
      </c>
      <c r="C374" s="1" t="s">
        <v>665</v>
      </c>
      <c r="D374" s="10" t="n">
        <v>18126</v>
      </c>
      <c r="E374" s="1" t="n">
        <v>1000209914</v>
      </c>
    </row>
    <row r="375" customFormat="false" ht="15" hidden="false" customHeight="false" outlineLevel="0" collapsed="false">
      <c r="B375" s="10" t="n">
        <v>45317</v>
      </c>
      <c r="C375" s="1" t="s">
        <v>666</v>
      </c>
      <c r="D375" s="10" t="n">
        <v>37886</v>
      </c>
      <c r="E375" s="1" t="n">
        <v>1006604851</v>
      </c>
    </row>
    <row r="376" customFormat="false" ht="15" hidden="false" customHeight="false" outlineLevel="0" collapsed="false">
      <c r="B376" s="10" t="n">
        <v>45318</v>
      </c>
      <c r="C376" s="1" t="s">
        <v>667</v>
      </c>
      <c r="D376" s="10" t="n">
        <v>20062</v>
      </c>
      <c r="E376" s="1" t="n">
        <v>1007117518</v>
      </c>
    </row>
    <row r="377" customFormat="false" ht="15" hidden="false" customHeight="false" outlineLevel="0" collapsed="false">
      <c r="B377" s="10" t="n">
        <v>45318</v>
      </c>
      <c r="C377" s="1" t="s">
        <v>668</v>
      </c>
      <c r="D377" s="10" t="n">
        <v>44087</v>
      </c>
      <c r="E377" s="1" t="n">
        <v>1205150164</v>
      </c>
    </row>
    <row r="378" customFormat="false" ht="15" hidden="false" customHeight="false" outlineLevel="0" collapsed="false">
      <c r="B378" s="10" t="n">
        <v>45319</v>
      </c>
      <c r="C378" s="1" t="s">
        <v>669</v>
      </c>
      <c r="D378" s="10" t="n">
        <v>39382</v>
      </c>
      <c r="E378" s="1" t="n">
        <v>1201165802</v>
      </c>
    </row>
    <row r="379" customFormat="false" ht="15" hidden="false" customHeight="false" outlineLevel="0" collapsed="false">
      <c r="B379" s="10" t="n">
        <v>45319</v>
      </c>
      <c r="C379" s="1" t="s">
        <v>670</v>
      </c>
      <c r="D379" s="10" t="n">
        <v>13287</v>
      </c>
      <c r="E379" s="1" t="n">
        <v>1009351464</v>
      </c>
    </row>
    <row r="380" customFormat="false" ht="15" hidden="false" customHeight="false" outlineLevel="0" collapsed="false">
      <c r="B380" s="10" t="n">
        <v>45320</v>
      </c>
      <c r="C380" s="1" t="s">
        <v>671</v>
      </c>
      <c r="D380" s="10" t="n">
        <v>32583</v>
      </c>
      <c r="E380" s="1" t="n">
        <v>1401579118</v>
      </c>
    </row>
    <row r="381" customFormat="false" ht="15" hidden="false" customHeight="false" outlineLevel="0" collapsed="false">
      <c r="B381" s="10" t="n">
        <v>45322</v>
      </c>
      <c r="C381" s="1" t="s">
        <v>672</v>
      </c>
      <c r="D381" s="10" t="n">
        <v>18103</v>
      </c>
      <c r="E381" s="1" t="n">
        <v>1400202020</v>
      </c>
    </row>
    <row r="382" customFormat="false" ht="15" hidden="false" customHeight="false" outlineLevel="0" collapsed="false">
      <c r="B382" s="10" t="n">
        <v>45323</v>
      </c>
      <c r="C382" s="1" t="s">
        <v>672</v>
      </c>
      <c r="D382" s="10" t="n">
        <v>18103</v>
      </c>
      <c r="E382" s="1" t="n">
        <v>1400202020</v>
      </c>
    </row>
    <row r="383" customFormat="false" ht="15" hidden="false" customHeight="false" outlineLevel="0" collapsed="false">
      <c r="B383" s="10" t="n">
        <v>45324</v>
      </c>
      <c r="C383" s="1" t="s">
        <v>673</v>
      </c>
      <c r="D383" s="10" t="n">
        <v>28865</v>
      </c>
      <c r="E383" s="1" t="n">
        <v>1004630490</v>
      </c>
    </row>
    <row r="384" customFormat="false" ht="15" hidden="false" customHeight="false" outlineLevel="0" collapsed="false">
      <c r="B384" s="10" t="n">
        <v>45324</v>
      </c>
      <c r="C384" s="1" t="s">
        <v>674</v>
      </c>
      <c r="D384" s="10" t="n">
        <v>36520</v>
      </c>
      <c r="E384" s="1" t="n">
        <v>1401584965</v>
      </c>
    </row>
    <row r="385" customFormat="false" ht="39.5" hidden="false" customHeight="false" outlineLevel="0" collapsed="false">
      <c r="A385" s="1" t="s">
        <v>62</v>
      </c>
      <c r="B385" s="10" t="n">
        <v>45326</v>
      </c>
      <c r="C385" s="1" t="s">
        <v>675</v>
      </c>
      <c r="D385" s="10" t="n">
        <v>35156</v>
      </c>
      <c r="E385" s="1" t="n">
        <v>1004644124</v>
      </c>
      <c r="F385" s="2" t="s">
        <v>136</v>
      </c>
      <c r="G385" s="3" t="s">
        <v>136</v>
      </c>
      <c r="H385" s="3" t="s">
        <v>136</v>
      </c>
      <c r="I385" s="3" t="s">
        <v>136</v>
      </c>
      <c r="K385" s="1" t="s">
        <v>49</v>
      </c>
      <c r="L385" s="17" t="s">
        <v>676</v>
      </c>
      <c r="M385" s="3" t="s">
        <v>138</v>
      </c>
    </row>
    <row r="386" customFormat="false" ht="39.5" hidden="false" customHeight="false" outlineLevel="0" collapsed="false">
      <c r="A386" s="1" t="s">
        <v>62</v>
      </c>
      <c r="B386" s="10" t="n">
        <v>45326</v>
      </c>
      <c r="C386" s="1" t="s">
        <v>677</v>
      </c>
      <c r="D386" s="10" t="n">
        <v>21756</v>
      </c>
      <c r="E386" s="1" t="n">
        <v>1003731384</v>
      </c>
      <c r="F386" s="2" t="s">
        <v>136</v>
      </c>
      <c r="G386" s="3" t="s">
        <v>136</v>
      </c>
      <c r="H386" s="3" t="s">
        <v>136</v>
      </c>
      <c r="I386" s="3" t="s">
        <v>136</v>
      </c>
      <c r="K386" s="1" t="s">
        <v>99</v>
      </c>
      <c r="L386" s="17" t="s">
        <v>678</v>
      </c>
      <c r="M386" s="3" t="s">
        <v>138</v>
      </c>
    </row>
    <row r="387" customFormat="false" ht="15" hidden="false" customHeight="false" outlineLevel="0" collapsed="false">
      <c r="B387" s="10" t="n">
        <v>45329</v>
      </c>
      <c r="C387" s="1" t="s">
        <v>679</v>
      </c>
      <c r="D387" s="10" t="n">
        <v>39648</v>
      </c>
      <c r="E387" s="1" t="n">
        <v>1100391714</v>
      </c>
    </row>
    <row r="388" customFormat="false" ht="15" hidden="false" customHeight="false" outlineLevel="0" collapsed="false">
      <c r="B388" s="10" t="n">
        <v>45330</v>
      </c>
      <c r="C388" s="1" t="s">
        <v>680</v>
      </c>
      <c r="D388" s="10" t="n">
        <v>40052</v>
      </c>
      <c r="E388" s="1" t="n">
        <v>1203341337</v>
      </c>
    </row>
    <row r="389" customFormat="false" ht="15" hidden="false" customHeight="false" outlineLevel="0" collapsed="false">
      <c r="B389" s="10" t="n">
        <v>45330</v>
      </c>
      <c r="C389" s="1" t="s">
        <v>681</v>
      </c>
      <c r="D389" s="10" t="n">
        <v>30508</v>
      </c>
      <c r="E389" s="1" t="n">
        <v>1103037659</v>
      </c>
    </row>
    <row r="390" customFormat="false" ht="15" hidden="false" customHeight="false" outlineLevel="0" collapsed="false">
      <c r="B390" s="10" t="n">
        <v>45330</v>
      </c>
      <c r="C390" s="1" t="s">
        <v>682</v>
      </c>
      <c r="D390" s="10" t="n">
        <v>16227</v>
      </c>
      <c r="E390" s="1" t="n">
        <v>1401593250</v>
      </c>
    </row>
    <row r="391" customFormat="false" ht="15" hidden="false" customHeight="false" outlineLevel="0" collapsed="false">
      <c r="B391" s="10" t="n">
        <v>45331</v>
      </c>
      <c r="C391" s="1" t="s">
        <v>683</v>
      </c>
      <c r="D391" s="10" t="n">
        <v>44028</v>
      </c>
      <c r="E391" s="1" t="n">
        <v>1401593648</v>
      </c>
    </row>
    <row r="392" customFormat="false" ht="15" hidden="false" customHeight="false" outlineLevel="0" collapsed="false">
      <c r="B392" s="10" t="n">
        <v>45334</v>
      </c>
      <c r="C392" s="1" t="s">
        <v>684</v>
      </c>
      <c r="D392" s="10" t="n">
        <v>44540</v>
      </c>
      <c r="E392" s="1" t="n">
        <v>1401595930</v>
      </c>
    </row>
    <row r="393" customFormat="false" ht="15" hidden="false" customHeight="false" outlineLevel="0" collapsed="false">
      <c r="B393" s="10" t="n">
        <v>45334</v>
      </c>
      <c r="C393" s="1" t="s">
        <v>685</v>
      </c>
      <c r="D393" s="10" t="n">
        <v>38414</v>
      </c>
      <c r="E393" s="1" t="n">
        <v>1401594833</v>
      </c>
    </row>
    <row r="394" customFormat="false" ht="15" hidden="false" customHeight="false" outlineLevel="0" collapsed="false">
      <c r="B394" s="10" t="n">
        <v>45335</v>
      </c>
      <c r="C394" s="1" t="s">
        <v>686</v>
      </c>
      <c r="D394" s="10" t="n">
        <v>34528</v>
      </c>
      <c r="E394" s="1" t="n">
        <v>1000000400</v>
      </c>
    </row>
    <row r="395" customFormat="false" ht="15" hidden="false" customHeight="false" outlineLevel="0" collapsed="false">
      <c r="A395" s="31" t="s">
        <v>538</v>
      </c>
      <c r="B395" s="10" t="n">
        <v>45335</v>
      </c>
      <c r="C395" s="1" t="s">
        <v>687</v>
      </c>
      <c r="D395" s="10" t="n">
        <v>21633</v>
      </c>
      <c r="E395" s="1" t="n">
        <v>1200532582</v>
      </c>
    </row>
    <row r="396" customFormat="false" ht="15" hidden="false" customHeight="false" outlineLevel="0" collapsed="false">
      <c r="B396" s="10" t="n">
        <v>45335</v>
      </c>
      <c r="C396" s="1" t="s">
        <v>688</v>
      </c>
      <c r="D396" s="10" t="n">
        <v>11535</v>
      </c>
      <c r="E396" s="1" t="n">
        <v>1401598622</v>
      </c>
    </row>
    <row r="397" customFormat="false" ht="15" hidden="false" customHeight="false" outlineLevel="0" collapsed="false">
      <c r="B397" s="10" t="n">
        <v>45336</v>
      </c>
      <c r="C397" s="1" t="s">
        <v>689</v>
      </c>
      <c r="D397" s="10" t="n">
        <v>37384</v>
      </c>
      <c r="E397" s="1" t="n">
        <v>1005753632</v>
      </c>
    </row>
    <row r="398" customFormat="false" ht="15" hidden="false" customHeight="false" outlineLevel="0" collapsed="false">
      <c r="B398" s="10" t="n">
        <v>45337</v>
      </c>
      <c r="C398" s="1" t="s">
        <v>690</v>
      </c>
      <c r="D398" s="10" t="n">
        <v>44489</v>
      </c>
      <c r="E398" s="1" t="n">
        <v>1401601240</v>
      </c>
    </row>
    <row r="399" customFormat="false" ht="15" hidden="false" customHeight="false" outlineLevel="0" collapsed="false">
      <c r="B399" s="10" t="n">
        <v>45337</v>
      </c>
      <c r="C399" s="1" t="s">
        <v>691</v>
      </c>
      <c r="D399" s="10" t="n">
        <v>20884</v>
      </c>
      <c r="E399" s="1" t="n">
        <v>1400578952</v>
      </c>
    </row>
    <row r="400" customFormat="false" ht="15" hidden="false" customHeight="false" outlineLevel="0" collapsed="false">
      <c r="B400" s="10" t="n">
        <v>45338</v>
      </c>
      <c r="C400" s="1" t="s">
        <v>692</v>
      </c>
      <c r="D400" s="10" t="n">
        <v>24896</v>
      </c>
      <c r="E400" s="1" t="n">
        <v>1009628420</v>
      </c>
    </row>
    <row r="401" customFormat="false" ht="15" hidden="false" customHeight="false" outlineLevel="0" collapsed="false">
      <c r="B401" s="10" t="n">
        <v>45338</v>
      </c>
      <c r="C401" s="1" t="s">
        <v>693</v>
      </c>
      <c r="D401" s="10" t="n">
        <v>36352</v>
      </c>
      <c r="E401" s="1" t="n">
        <v>1100387226</v>
      </c>
    </row>
    <row r="402" customFormat="false" ht="15" hidden="false" customHeight="false" outlineLevel="0" collapsed="false">
      <c r="B402" s="10" t="n">
        <v>45338</v>
      </c>
      <c r="C402" s="1" t="s">
        <v>694</v>
      </c>
      <c r="D402" s="10" t="n">
        <v>43776</v>
      </c>
      <c r="E402" s="1" t="n">
        <v>1203368945</v>
      </c>
    </row>
    <row r="403" customFormat="false" ht="15" hidden="false" customHeight="false" outlineLevel="0" collapsed="false">
      <c r="B403" s="10" t="n">
        <v>45339</v>
      </c>
      <c r="C403" s="1" t="s">
        <v>695</v>
      </c>
      <c r="D403" s="10" t="n">
        <v>36769</v>
      </c>
      <c r="E403" s="1" t="n">
        <v>1400167766</v>
      </c>
    </row>
    <row r="404" customFormat="false" ht="15" hidden="false" customHeight="false" outlineLevel="0" collapsed="false">
      <c r="B404" s="10" t="n">
        <v>45339</v>
      </c>
      <c r="C404" s="1" t="s">
        <v>696</v>
      </c>
      <c r="D404" s="10" t="n">
        <v>39582</v>
      </c>
      <c r="E404" s="1" t="n">
        <v>1401603150</v>
      </c>
    </row>
    <row r="405" customFormat="false" ht="15" hidden="false" customHeight="false" outlineLevel="0" collapsed="false">
      <c r="B405" s="10" t="n">
        <v>45339</v>
      </c>
      <c r="C405" s="1" t="s">
        <v>697</v>
      </c>
      <c r="D405" s="10" t="n">
        <v>32981</v>
      </c>
      <c r="E405" s="1" t="n">
        <v>1401603155</v>
      </c>
    </row>
    <row r="406" customFormat="false" ht="15" hidden="false" customHeight="false" outlineLevel="0" collapsed="false">
      <c r="B406" s="10" t="n">
        <v>45342</v>
      </c>
      <c r="C406" s="1" t="s">
        <v>698</v>
      </c>
      <c r="D406" s="10" t="n">
        <v>33016</v>
      </c>
      <c r="E406" s="1" t="n">
        <v>1007209903</v>
      </c>
    </row>
    <row r="407" customFormat="false" ht="15" hidden="false" customHeight="false" outlineLevel="0" collapsed="false">
      <c r="B407" s="10" t="n">
        <v>45343</v>
      </c>
      <c r="C407" s="1" t="s">
        <v>699</v>
      </c>
      <c r="D407" s="10" t="n">
        <v>31634</v>
      </c>
      <c r="E407" s="1" t="n">
        <v>1401605988</v>
      </c>
    </row>
    <row r="408" customFormat="false" ht="15" hidden="false" customHeight="false" outlineLevel="0" collapsed="false">
      <c r="B408" s="10" t="n">
        <v>45344</v>
      </c>
      <c r="C408" s="1" t="s">
        <v>700</v>
      </c>
      <c r="D408" s="10" t="n">
        <v>22707</v>
      </c>
      <c r="E408" s="1" t="n">
        <v>1103345143</v>
      </c>
    </row>
    <row r="409" customFormat="false" ht="15" hidden="false" customHeight="false" outlineLevel="0" collapsed="false">
      <c r="B409" s="10" t="n">
        <v>45344</v>
      </c>
      <c r="C409" s="1" t="s">
        <v>701</v>
      </c>
      <c r="D409" s="10" t="n">
        <v>40091</v>
      </c>
      <c r="E409" s="1" t="n">
        <v>1401516830</v>
      </c>
    </row>
    <row r="410" customFormat="false" ht="15" hidden="false" customHeight="false" outlineLevel="0" collapsed="false">
      <c r="B410" s="10" t="n">
        <v>45345</v>
      </c>
      <c r="C410" s="1" t="s">
        <v>702</v>
      </c>
      <c r="D410" s="10" t="n">
        <v>33201</v>
      </c>
      <c r="E410" s="1" t="n">
        <v>1401609115</v>
      </c>
    </row>
    <row r="411" customFormat="false" ht="15" hidden="false" customHeight="false" outlineLevel="0" collapsed="false">
      <c r="B411" s="10" t="n">
        <v>45345</v>
      </c>
      <c r="C411" s="1" t="s">
        <v>703</v>
      </c>
      <c r="D411" s="10" t="n">
        <v>34025</v>
      </c>
      <c r="E411" s="1" t="n">
        <v>1401610507</v>
      </c>
    </row>
    <row r="412" customFormat="false" ht="27" hidden="false" customHeight="false" outlineLevel="0" collapsed="false">
      <c r="A412" s="1" t="s">
        <v>62</v>
      </c>
      <c r="B412" s="10" t="n">
        <v>45349</v>
      </c>
      <c r="C412" s="1" t="s">
        <v>704</v>
      </c>
      <c r="D412" s="10" t="n">
        <v>33936</v>
      </c>
      <c r="E412" s="1" t="n">
        <v>1401614454</v>
      </c>
      <c r="F412" s="2" t="s">
        <v>136</v>
      </c>
      <c r="G412" s="3" t="s">
        <v>136</v>
      </c>
      <c r="H412" s="3" t="s">
        <v>136</v>
      </c>
      <c r="I412" s="3" t="s">
        <v>136</v>
      </c>
      <c r="K412" s="1" t="s">
        <v>49</v>
      </c>
      <c r="L412" s="24" t="s">
        <v>705</v>
      </c>
    </row>
    <row r="413" customFormat="false" ht="15" hidden="false" customHeight="false" outlineLevel="0" collapsed="false">
      <c r="B413" s="10" t="n">
        <v>45350</v>
      </c>
      <c r="C413" s="1" t="s">
        <v>706</v>
      </c>
      <c r="D413" s="10" t="n">
        <v>26513</v>
      </c>
      <c r="E413" s="1" t="n">
        <v>1200282882</v>
      </c>
    </row>
    <row r="414" customFormat="false" ht="15" hidden="false" customHeight="false" outlineLevel="0" collapsed="false">
      <c r="B414" s="10" t="n">
        <v>45351</v>
      </c>
      <c r="C414" s="1" t="s">
        <v>707</v>
      </c>
      <c r="D414" s="10" t="n">
        <v>14335</v>
      </c>
      <c r="E414" s="1" t="n">
        <v>1100088435</v>
      </c>
    </row>
    <row r="415" customFormat="false" ht="15" hidden="false" customHeight="false" outlineLevel="0" collapsed="false">
      <c r="B415" s="10" t="n">
        <v>45351</v>
      </c>
      <c r="C415" s="1" t="s">
        <v>708</v>
      </c>
      <c r="D415" s="10" t="n">
        <v>25917</v>
      </c>
      <c r="E415" s="1" t="n">
        <v>1004432105</v>
      </c>
    </row>
    <row r="416" customFormat="false" ht="15" hidden="false" customHeight="false" outlineLevel="0" collapsed="false">
      <c r="B416" s="10" t="n">
        <v>45351</v>
      </c>
      <c r="C416" s="1" t="s">
        <v>709</v>
      </c>
      <c r="D416" s="10" t="n">
        <v>44516</v>
      </c>
      <c r="E416" s="1" t="n">
        <v>1400522389</v>
      </c>
    </row>
    <row r="417" customFormat="false" ht="15" hidden="false" customHeight="false" outlineLevel="0" collapsed="false">
      <c r="B417" s="10" t="n">
        <v>45352</v>
      </c>
      <c r="C417" s="1" t="s">
        <v>710</v>
      </c>
      <c r="D417" s="10" t="n">
        <v>42946</v>
      </c>
      <c r="E417" s="1" t="n">
        <v>1103403131</v>
      </c>
    </row>
    <row r="418" customFormat="false" ht="15" hidden="false" customHeight="false" outlineLevel="0" collapsed="false">
      <c r="B418" s="10" t="n">
        <v>45352</v>
      </c>
      <c r="C418" s="1" t="s">
        <v>711</v>
      </c>
      <c r="D418" s="10" t="n">
        <v>33894</v>
      </c>
      <c r="E418" s="1" t="n">
        <v>1103179670</v>
      </c>
    </row>
    <row r="419" customFormat="false" ht="15" hidden="false" customHeight="false" outlineLevel="0" collapsed="false">
      <c r="B419" s="10" t="n">
        <v>45352</v>
      </c>
      <c r="C419" s="1" t="s">
        <v>712</v>
      </c>
      <c r="D419" s="10" t="n">
        <v>40121</v>
      </c>
      <c r="E419" s="1" t="n">
        <v>1101448736</v>
      </c>
    </row>
    <row r="420" customFormat="false" ht="15" hidden="false" customHeight="false" outlineLevel="0" collapsed="false">
      <c r="B420" s="1" t="s">
        <v>713</v>
      </c>
      <c r="C420" s="1" t="s">
        <v>714</v>
      </c>
      <c r="D420" s="10" t="n">
        <v>31675</v>
      </c>
      <c r="E420" s="1" t="n">
        <v>1401440273</v>
      </c>
    </row>
    <row r="421" customFormat="false" ht="15" hidden="false" customHeight="false" outlineLevel="0" collapsed="false">
      <c r="B421" s="10" t="n">
        <v>45353</v>
      </c>
      <c r="C421" s="1" t="s">
        <v>715</v>
      </c>
      <c r="D421" s="10" t="n">
        <v>41562</v>
      </c>
      <c r="E421" s="1" t="n">
        <v>1101944843</v>
      </c>
    </row>
    <row r="422" customFormat="false" ht="15" hidden="false" customHeight="false" outlineLevel="0" collapsed="false">
      <c r="B422" s="10" t="n">
        <v>45353</v>
      </c>
      <c r="C422" s="1" t="s">
        <v>716</v>
      </c>
      <c r="D422" s="10" t="n">
        <v>39030</v>
      </c>
      <c r="E422" s="1" t="n">
        <v>1400440511</v>
      </c>
    </row>
    <row r="423" customFormat="false" ht="15" hidden="false" customHeight="false" outlineLevel="0" collapsed="false">
      <c r="B423" s="10" t="n">
        <v>45354</v>
      </c>
      <c r="C423" s="1" t="s">
        <v>716</v>
      </c>
      <c r="D423" s="10" t="n">
        <v>39030</v>
      </c>
      <c r="E423" s="1" t="n">
        <v>1400440511</v>
      </c>
    </row>
    <row r="424" customFormat="false" ht="15" hidden="false" customHeight="false" outlineLevel="0" collapsed="false">
      <c r="B424" s="10" t="n">
        <v>45354</v>
      </c>
      <c r="C424" s="1" t="s">
        <v>717</v>
      </c>
      <c r="D424" s="10" t="n">
        <v>17396</v>
      </c>
      <c r="E424" s="1" t="n">
        <v>1401121523</v>
      </c>
    </row>
    <row r="425" customFormat="false" ht="15" hidden="false" customHeight="false" outlineLevel="0" collapsed="false">
      <c r="B425" s="10" t="n">
        <v>45354</v>
      </c>
      <c r="C425" s="1" t="s">
        <v>718</v>
      </c>
      <c r="D425" s="10" t="n">
        <v>41223</v>
      </c>
      <c r="E425" s="1" t="n">
        <v>1103253511</v>
      </c>
    </row>
    <row r="426" customFormat="false" ht="15" hidden="false" customHeight="false" outlineLevel="0" collapsed="false">
      <c r="B426" s="10" t="n">
        <v>45355</v>
      </c>
      <c r="C426" s="1" t="s">
        <v>719</v>
      </c>
      <c r="D426" s="10" t="n">
        <v>17632</v>
      </c>
      <c r="E426" s="1" t="n">
        <v>1005422757</v>
      </c>
    </row>
    <row r="427" customFormat="false" ht="15" hidden="false" customHeight="false" outlineLevel="0" collapsed="false">
      <c r="A427" s="1" t="s">
        <v>62</v>
      </c>
      <c r="B427" s="10" t="n">
        <v>45355</v>
      </c>
      <c r="C427" s="1" t="s">
        <v>720</v>
      </c>
      <c r="D427" s="10" t="n">
        <v>26999</v>
      </c>
      <c r="E427" s="1" t="n">
        <v>1401620370</v>
      </c>
      <c r="F427" s="2" t="s">
        <v>136</v>
      </c>
      <c r="G427" s="3" t="s">
        <v>136</v>
      </c>
      <c r="H427" s="3" t="s">
        <v>136</v>
      </c>
      <c r="I427" s="3" t="s">
        <v>136</v>
      </c>
      <c r="K427" s="1" t="s">
        <v>49</v>
      </c>
      <c r="L427" s="1" t="s">
        <v>429</v>
      </c>
      <c r="M427" s="3" t="s">
        <v>138</v>
      </c>
    </row>
    <row r="428" customFormat="false" ht="15" hidden="false" customHeight="false" outlineLevel="0" collapsed="false">
      <c r="B428" s="10" t="n">
        <v>45355</v>
      </c>
      <c r="C428" s="1" t="s">
        <v>721</v>
      </c>
      <c r="D428" s="10" t="n">
        <v>33586</v>
      </c>
      <c r="E428" s="1" t="n">
        <v>1200395368</v>
      </c>
    </row>
    <row r="429" customFormat="false" ht="15" hidden="false" customHeight="false" outlineLevel="0" collapsed="false">
      <c r="B429" s="10" t="n">
        <v>45356</v>
      </c>
      <c r="C429" s="1" t="s">
        <v>722</v>
      </c>
      <c r="D429" s="10" t="n">
        <v>33564</v>
      </c>
      <c r="E429" s="1" t="n">
        <v>1401620491</v>
      </c>
    </row>
    <row r="430" customFormat="false" ht="15" hidden="false" customHeight="false" outlineLevel="0" collapsed="false">
      <c r="B430" s="10" t="n">
        <v>45356</v>
      </c>
      <c r="C430" s="1" t="s">
        <v>723</v>
      </c>
      <c r="D430" s="10" t="n">
        <v>33963</v>
      </c>
      <c r="E430" s="1" t="n">
        <v>1006599495</v>
      </c>
    </row>
    <row r="431" customFormat="false" ht="15" hidden="false" customHeight="false" outlineLevel="0" collapsed="false">
      <c r="A431" s="1" t="s">
        <v>14</v>
      </c>
      <c r="B431" s="10" t="n">
        <v>45356</v>
      </c>
      <c r="C431" s="1" t="s">
        <v>724</v>
      </c>
      <c r="D431" s="10" t="n">
        <v>44516</v>
      </c>
      <c r="E431" s="1" t="n">
        <v>1401622561</v>
      </c>
      <c r="F431" s="2" t="s">
        <v>349</v>
      </c>
      <c r="G431" s="3" t="s">
        <v>725</v>
      </c>
      <c r="H431" s="3" t="s">
        <v>726</v>
      </c>
      <c r="K431" s="1" t="s">
        <v>49</v>
      </c>
    </row>
    <row r="432" customFormat="false" ht="15" hidden="false" customHeight="false" outlineLevel="0" collapsed="false">
      <c r="A432" s="1" t="s">
        <v>14</v>
      </c>
      <c r="B432" s="10" t="n">
        <v>45360</v>
      </c>
      <c r="C432" s="1" t="s">
        <v>727</v>
      </c>
      <c r="D432" s="10" t="n">
        <v>37952</v>
      </c>
      <c r="E432" s="1" t="n">
        <v>1102874529</v>
      </c>
      <c r="F432" s="2" t="s">
        <v>728</v>
      </c>
      <c r="G432" s="3" t="s">
        <v>729</v>
      </c>
      <c r="H432" s="3" t="s">
        <v>730</v>
      </c>
      <c r="J432" s="4" t="s">
        <v>731</v>
      </c>
      <c r="K432" s="1" t="s">
        <v>49</v>
      </c>
    </row>
    <row r="433" customFormat="false" ht="39.5" hidden="false" customHeight="false" outlineLevel="0" collapsed="false">
      <c r="A433" s="1" t="s">
        <v>14</v>
      </c>
      <c r="B433" s="10" t="n">
        <v>45360</v>
      </c>
      <c r="C433" s="1" t="s">
        <v>732</v>
      </c>
      <c r="D433" s="10" t="n">
        <v>36210</v>
      </c>
      <c r="E433" s="1" t="n">
        <v>1002666748</v>
      </c>
      <c r="F433" s="2" t="s">
        <v>733</v>
      </c>
      <c r="G433" s="3" t="s">
        <v>734</v>
      </c>
      <c r="H433" s="3" t="s">
        <v>735</v>
      </c>
      <c r="J433" s="4" t="s">
        <v>731</v>
      </c>
      <c r="K433" s="1" t="s">
        <v>49</v>
      </c>
    </row>
    <row r="434" customFormat="false" ht="15" hidden="false" customHeight="false" outlineLevel="0" collapsed="false">
      <c r="A434" s="1" t="s">
        <v>14</v>
      </c>
      <c r="B434" s="10" t="n">
        <v>45360</v>
      </c>
      <c r="C434" s="1" t="s">
        <v>736</v>
      </c>
      <c r="D434" s="10" t="n">
        <v>44985</v>
      </c>
      <c r="E434" s="1" t="n">
        <v>1401126371</v>
      </c>
      <c r="F434" s="2" t="s">
        <v>737</v>
      </c>
      <c r="G434" s="3" t="s">
        <v>738</v>
      </c>
      <c r="H434" s="3" t="s">
        <v>739</v>
      </c>
      <c r="K434" s="1" t="s">
        <v>49</v>
      </c>
    </row>
    <row r="435" customFormat="false" ht="27" hidden="false" customHeight="false" outlineLevel="0" collapsed="false">
      <c r="A435" s="1" t="s">
        <v>14</v>
      </c>
      <c r="B435" s="10" t="n">
        <v>45360</v>
      </c>
      <c r="C435" s="1" t="s">
        <v>740</v>
      </c>
      <c r="D435" s="10" t="n">
        <v>29456</v>
      </c>
      <c r="E435" s="1" t="n">
        <v>1200624653</v>
      </c>
      <c r="F435" s="2" t="s">
        <v>741</v>
      </c>
      <c r="G435" s="3" t="s">
        <v>742</v>
      </c>
      <c r="H435" s="3" t="s">
        <v>743</v>
      </c>
      <c r="K435" s="1" t="s">
        <v>49</v>
      </c>
    </row>
    <row r="436" customFormat="false" ht="15" hidden="false" customHeight="false" outlineLevel="0" collapsed="false">
      <c r="A436" s="1" t="s">
        <v>14</v>
      </c>
      <c r="B436" s="10" t="n">
        <v>45361</v>
      </c>
      <c r="C436" s="1" t="s">
        <v>744</v>
      </c>
      <c r="D436" s="10" t="n">
        <v>44497</v>
      </c>
      <c r="E436" s="1" t="n">
        <v>1401621668</v>
      </c>
      <c r="F436" s="2" t="s">
        <v>349</v>
      </c>
      <c r="G436" s="3" t="s">
        <v>745</v>
      </c>
      <c r="H436" s="3" t="s">
        <v>746</v>
      </c>
      <c r="K436" s="1" t="s">
        <v>49</v>
      </c>
    </row>
    <row r="437" customFormat="false" ht="15" hidden="false" customHeight="false" outlineLevel="0" collapsed="false">
      <c r="A437" s="1" t="s">
        <v>14</v>
      </c>
      <c r="B437" s="10" t="n">
        <v>45363</v>
      </c>
      <c r="C437" s="1" t="s">
        <v>747</v>
      </c>
      <c r="D437" s="10" t="n">
        <v>33466</v>
      </c>
      <c r="E437" s="1" t="n">
        <v>1101568757</v>
      </c>
      <c r="F437" s="2" t="s">
        <v>748</v>
      </c>
      <c r="G437" s="3" t="s">
        <v>749</v>
      </c>
      <c r="H437" s="3" t="s">
        <v>750</v>
      </c>
      <c r="K437" s="1" t="s">
        <v>49</v>
      </c>
    </row>
    <row r="438" customFormat="false" ht="15" hidden="false" customHeight="false" outlineLevel="0" collapsed="false">
      <c r="A438" s="1" t="s">
        <v>62</v>
      </c>
      <c r="B438" s="10" t="n">
        <v>45363</v>
      </c>
      <c r="C438" s="1" t="s">
        <v>751</v>
      </c>
      <c r="D438" s="10" t="n">
        <v>17311</v>
      </c>
      <c r="E438" s="1" t="n">
        <v>1401612991</v>
      </c>
      <c r="F438" s="2" t="s">
        <v>728</v>
      </c>
      <c r="G438" s="3" t="s">
        <v>752</v>
      </c>
      <c r="H438" s="3" t="s">
        <v>753</v>
      </c>
      <c r="J438" s="4" t="s">
        <v>731</v>
      </c>
      <c r="K438" s="1" t="s">
        <v>49</v>
      </c>
      <c r="L438" s="1" t="s">
        <v>754</v>
      </c>
    </row>
    <row r="439" customFormat="false" ht="15" hidden="false" customHeight="false" outlineLevel="0" collapsed="false">
      <c r="A439" s="1" t="s">
        <v>14</v>
      </c>
      <c r="B439" s="10" t="n">
        <v>45364</v>
      </c>
      <c r="C439" s="1" t="s">
        <v>755</v>
      </c>
      <c r="D439" s="10" t="n">
        <v>35848</v>
      </c>
      <c r="E439" s="1" t="n">
        <v>1401645430</v>
      </c>
      <c r="F439" s="2" t="s">
        <v>756</v>
      </c>
      <c r="G439" s="3" t="s">
        <v>757</v>
      </c>
      <c r="H439" s="3" t="s">
        <v>758</v>
      </c>
      <c r="K439" s="1" t="s">
        <v>49</v>
      </c>
    </row>
    <row r="440" customFormat="false" ht="29.25" hidden="false" customHeight="true" outlineLevel="0" collapsed="false">
      <c r="A440" s="1" t="s">
        <v>62</v>
      </c>
      <c r="B440" s="10" t="n">
        <v>45370</v>
      </c>
      <c r="C440" s="1" t="s">
        <v>759</v>
      </c>
      <c r="D440" s="10" t="n">
        <v>35061</v>
      </c>
      <c r="E440" s="1" t="n">
        <v>1006239446</v>
      </c>
      <c r="F440" s="2" t="s">
        <v>136</v>
      </c>
      <c r="G440" s="3" t="s">
        <v>136</v>
      </c>
      <c r="H440" s="3" t="s">
        <v>136</v>
      </c>
      <c r="K440" s="1" t="s">
        <v>49</v>
      </c>
      <c r="L440" s="17" t="s">
        <v>760</v>
      </c>
    </row>
    <row r="441" customFormat="false" ht="27" hidden="false" customHeight="false" outlineLevel="0" collapsed="false">
      <c r="A441" s="1" t="s">
        <v>62</v>
      </c>
      <c r="B441" s="10" t="n">
        <v>45370</v>
      </c>
      <c r="C441" s="1" t="s">
        <v>761</v>
      </c>
      <c r="D441" s="10" t="n">
        <v>38261</v>
      </c>
      <c r="E441" s="1" t="n">
        <v>1009946582</v>
      </c>
      <c r="F441" s="2" t="s">
        <v>136</v>
      </c>
      <c r="G441" s="3" t="s">
        <v>136</v>
      </c>
      <c r="H441" s="3" t="s">
        <v>136</v>
      </c>
      <c r="K441" s="1" t="s">
        <v>49</v>
      </c>
      <c r="L441" s="17" t="s">
        <v>762</v>
      </c>
    </row>
    <row r="442" customFormat="false" ht="15" hidden="false" customHeight="false" outlineLevel="0" collapsed="false">
      <c r="B442" s="10" t="n">
        <v>45372</v>
      </c>
      <c r="C442" s="1" t="s">
        <v>763</v>
      </c>
      <c r="D442" s="10" t="n">
        <v>44453</v>
      </c>
      <c r="E442" s="1" t="n">
        <v>1400450176</v>
      </c>
      <c r="F442" s="2" t="s">
        <v>764</v>
      </c>
    </row>
    <row r="443" customFormat="false" ht="15" hidden="false" customHeight="false" outlineLevel="0" collapsed="false">
      <c r="B443" s="10" t="n">
        <v>45375</v>
      </c>
      <c r="C443" s="1" t="s">
        <v>765</v>
      </c>
      <c r="D443" s="10" t="n">
        <v>38253</v>
      </c>
      <c r="E443" s="1" t="n">
        <v>1401657890</v>
      </c>
    </row>
    <row r="444" customFormat="false" ht="15" hidden="false" customHeight="false" outlineLevel="0" collapsed="false">
      <c r="B444" s="10" t="n">
        <v>45375</v>
      </c>
      <c r="C444" s="1" t="s">
        <v>766</v>
      </c>
      <c r="D444" s="10" t="n">
        <v>31854</v>
      </c>
      <c r="E444" s="1" t="n">
        <v>1200053528</v>
      </c>
    </row>
    <row r="445" customFormat="false" ht="15" hidden="false" customHeight="false" outlineLevel="0" collapsed="false">
      <c r="A445" s="1" t="s">
        <v>62</v>
      </c>
      <c r="B445" s="10" t="n">
        <v>45377</v>
      </c>
      <c r="C445" s="1" t="s">
        <v>767</v>
      </c>
      <c r="D445" s="10" t="n">
        <v>38414</v>
      </c>
      <c r="E445" s="1" t="n">
        <v>1203804580</v>
      </c>
      <c r="F445" s="2" t="s">
        <v>136</v>
      </c>
      <c r="G445" s="3" t="s">
        <v>136</v>
      </c>
      <c r="H445" s="3" t="s">
        <v>136</v>
      </c>
      <c r="I445" s="3" t="s">
        <v>136</v>
      </c>
      <c r="J445" s="4" t="s">
        <v>136</v>
      </c>
      <c r="K445" s="1" t="s">
        <v>49</v>
      </c>
      <c r="L445" s="1" t="s">
        <v>429</v>
      </c>
    </row>
    <row r="446" customFormat="false" ht="15" hidden="false" customHeight="false" outlineLevel="0" collapsed="false">
      <c r="B446" s="10" t="n">
        <v>45377</v>
      </c>
      <c r="C446" s="1" t="s">
        <v>768</v>
      </c>
      <c r="D446" s="10" t="n">
        <v>34580</v>
      </c>
      <c r="E446" s="1" t="n">
        <v>1401610473</v>
      </c>
    </row>
    <row r="447" customFormat="false" ht="15" hidden="false" customHeight="false" outlineLevel="0" collapsed="false">
      <c r="B447" s="10" t="n">
        <v>45377</v>
      </c>
      <c r="C447" s="1" t="s">
        <v>769</v>
      </c>
      <c r="D447" s="10" t="n">
        <v>32172</v>
      </c>
      <c r="E447" s="1" t="n">
        <v>1102480027</v>
      </c>
    </row>
    <row r="448" customFormat="false" ht="15" hidden="false" customHeight="false" outlineLevel="0" collapsed="false">
      <c r="B448" s="10" t="n">
        <v>45377</v>
      </c>
      <c r="C448" s="1" t="s">
        <v>770</v>
      </c>
      <c r="D448" s="10" t="n">
        <v>44890</v>
      </c>
      <c r="E448" s="1" t="n">
        <v>1401661317</v>
      </c>
    </row>
    <row r="449" customFormat="false" ht="15" hidden="false" customHeight="false" outlineLevel="0" collapsed="false">
      <c r="B449" s="10" t="n">
        <v>45377</v>
      </c>
      <c r="C449" s="1" t="s">
        <v>771</v>
      </c>
      <c r="D449" s="10" t="n">
        <v>24844</v>
      </c>
      <c r="E449" s="1" t="n">
        <v>1401661351</v>
      </c>
    </row>
    <row r="450" customFormat="false" ht="15" hidden="false" customHeight="false" outlineLevel="0" collapsed="false">
      <c r="B450" s="10" t="n">
        <v>45377</v>
      </c>
      <c r="C450" s="1" t="s">
        <v>772</v>
      </c>
      <c r="D450" s="10" t="n">
        <v>16576</v>
      </c>
      <c r="E450" s="1" t="n">
        <v>1005340343</v>
      </c>
    </row>
    <row r="451" customFormat="false" ht="15" hidden="false" customHeight="false" outlineLevel="0" collapsed="false">
      <c r="B451" s="10" t="n">
        <v>45378</v>
      </c>
      <c r="C451" s="1" t="s">
        <v>773</v>
      </c>
      <c r="D451" s="10" t="n">
        <v>16576</v>
      </c>
      <c r="E451" s="1" t="n">
        <v>1005340343</v>
      </c>
    </row>
    <row r="452" customFormat="false" ht="15" hidden="false" customHeight="false" outlineLevel="0" collapsed="false">
      <c r="B452" s="10" t="n">
        <v>45378</v>
      </c>
      <c r="C452" s="1" t="s">
        <v>774</v>
      </c>
      <c r="D452" s="10" t="n">
        <v>35043</v>
      </c>
      <c r="E452" s="1" t="n">
        <v>1002781481</v>
      </c>
    </row>
    <row r="453" customFormat="false" ht="15" hidden="false" customHeight="false" outlineLevel="0" collapsed="false">
      <c r="B453" s="10" t="n">
        <v>45378</v>
      </c>
      <c r="C453" s="1" t="s">
        <v>774</v>
      </c>
      <c r="D453" s="10" t="n">
        <v>35043</v>
      </c>
      <c r="E453" s="1" t="n">
        <v>1002781481</v>
      </c>
    </row>
    <row r="454" customFormat="false" ht="15" hidden="false" customHeight="false" outlineLevel="0" collapsed="false">
      <c r="B454" s="10" t="n">
        <v>45378</v>
      </c>
      <c r="C454" s="1" t="s">
        <v>775</v>
      </c>
      <c r="D454" s="10" t="n">
        <v>43744</v>
      </c>
      <c r="E454" s="1" t="n">
        <v>1400510577</v>
      </c>
    </row>
    <row r="455" customFormat="false" ht="15" hidden="false" customHeight="false" outlineLevel="0" collapsed="false">
      <c r="B455" s="10" t="n">
        <v>45379</v>
      </c>
      <c r="C455" s="1" t="s">
        <v>776</v>
      </c>
      <c r="D455" s="10" t="n">
        <v>33612</v>
      </c>
      <c r="E455" s="1" t="n">
        <v>1401663065</v>
      </c>
    </row>
    <row r="456" customFormat="false" ht="15" hidden="false" customHeight="false" outlineLevel="0" collapsed="false">
      <c r="B456" s="10" t="n">
        <v>45379</v>
      </c>
      <c r="C456" s="1" t="s">
        <v>777</v>
      </c>
      <c r="D456" s="10" t="n">
        <v>39335</v>
      </c>
      <c r="E456" s="1" t="n">
        <v>1103428154</v>
      </c>
    </row>
    <row r="457" customFormat="false" ht="15" hidden="false" customHeight="false" outlineLevel="0" collapsed="false">
      <c r="B457" s="10" t="n">
        <v>45380</v>
      </c>
      <c r="C457" s="1" t="s">
        <v>777</v>
      </c>
      <c r="D457" s="10" t="n">
        <v>39335</v>
      </c>
      <c r="E457" s="1" t="n">
        <v>1103428154</v>
      </c>
    </row>
    <row r="458" customFormat="false" ht="15" hidden="false" customHeight="false" outlineLevel="0" collapsed="false">
      <c r="B458" s="10" t="n">
        <v>45382</v>
      </c>
      <c r="C458" s="1" t="s">
        <v>778</v>
      </c>
      <c r="D458" s="10" t="n">
        <v>31919</v>
      </c>
      <c r="E458" s="1" t="n">
        <v>1010211609</v>
      </c>
    </row>
    <row r="459" customFormat="false" ht="15" hidden="false" customHeight="false" outlineLevel="0" collapsed="false">
      <c r="B459" s="10" t="n">
        <v>45383</v>
      </c>
      <c r="C459" s="1" t="s">
        <v>778</v>
      </c>
      <c r="D459" s="10" t="n">
        <v>31919</v>
      </c>
      <c r="E459" s="1" t="n">
        <v>1010211609</v>
      </c>
    </row>
    <row r="460" customFormat="false" ht="15" hidden="false" customHeight="false" outlineLevel="0" collapsed="false">
      <c r="B460" s="10" t="n">
        <v>45383</v>
      </c>
      <c r="C460" s="1" t="s">
        <v>779</v>
      </c>
      <c r="D460" s="10" t="n">
        <v>44841</v>
      </c>
      <c r="E460" s="1" t="n">
        <v>1401667581</v>
      </c>
    </row>
    <row r="461" customFormat="false" ht="15" hidden="false" customHeight="false" outlineLevel="0" collapsed="false">
      <c r="B461" s="10" t="n">
        <v>45388</v>
      </c>
      <c r="C461" s="1" t="s">
        <v>780</v>
      </c>
      <c r="D461" s="10" t="n">
        <v>33699</v>
      </c>
      <c r="E461" s="1" t="n">
        <v>1001676962</v>
      </c>
    </row>
    <row r="462" customFormat="false" ht="15" hidden="false" customHeight="false" outlineLevel="0" collapsed="false">
      <c r="B462" s="10" t="n">
        <v>45388</v>
      </c>
      <c r="C462" s="1" t="s">
        <v>781</v>
      </c>
      <c r="D462" s="10" t="n">
        <v>29891</v>
      </c>
      <c r="E462" s="1" t="n">
        <v>1008326821</v>
      </c>
    </row>
    <row r="463" customFormat="false" ht="15" hidden="false" customHeight="false" outlineLevel="0" collapsed="false">
      <c r="B463" s="10" t="n">
        <v>45388</v>
      </c>
      <c r="C463" s="1" t="s">
        <v>782</v>
      </c>
      <c r="D463" s="10" t="n">
        <v>33031</v>
      </c>
      <c r="E463" s="1" t="n">
        <v>1401674276</v>
      </c>
    </row>
    <row r="464" customFormat="false" ht="15" hidden="false" customHeight="false" outlineLevel="0" collapsed="false">
      <c r="B464" s="10" t="n">
        <v>45389</v>
      </c>
      <c r="C464" s="1" t="s">
        <v>782</v>
      </c>
      <c r="D464" s="10" t="n">
        <v>33031</v>
      </c>
      <c r="E464" s="1" t="n">
        <v>1401674276</v>
      </c>
    </row>
    <row r="465" customFormat="false" ht="15" hidden="false" customHeight="false" outlineLevel="0" collapsed="false">
      <c r="A465" s="1" t="s">
        <v>14</v>
      </c>
      <c r="B465" s="10" t="n">
        <v>45389</v>
      </c>
      <c r="C465" s="1" t="s">
        <v>783</v>
      </c>
      <c r="D465" s="10" t="n">
        <v>39891</v>
      </c>
      <c r="E465" s="1" t="n">
        <v>1400059656</v>
      </c>
      <c r="F465" s="2" t="s">
        <v>178</v>
      </c>
      <c r="G465" s="3" t="s">
        <v>784</v>
      </c>
      <c r="H465" s="3" t="s">
        <v>785</v>
      </c>
      <c r="K465" s="1" t="s">
        <v>49</v>
      </c>
    </row>
    <row r="466" customFormat="false" ht="15" hidden="false" customHeight="false" outlineLevel="0" collapsed="false">
      <c r="B466" s="10" t="n">
        <v>45389</v>
      </c>
      <c r="C466" s="1" t="s">
        <v>786</v>
      </c>
      <c r="D466" s="10" t="n">
        <v>44415</v>
      </c>
      <c r="E466" s="1" t="n">
        <v>1400562344</v>
      </c>
    </row>
    <row r="467" customFormat="false" ht="15" hidden="false" customHeight="false" outlineLevel="0" collapsed="false">
      <c r="B467" s="10" t="n">
        <v>45392</v>
      </c>
      <c r="C467" s="1" t="s">
        <v>787</v>
      </c>
      <c r="D467" s="10" t="n">
        <v>44403</v>
      </c>
      <c r="E467" s="1" t="n">
        <v>1401490471</v>
      </c>
    </row>
    <row r="468" customFormat="false" ht="15" hidden="false" customHeight="false" outlineLevel="0" collapsed="false">
      <c r="A468" s="1" t="s">
        <v>62</v>
      </c>
      <c r="B468" s="10" t="n">
        <v>45392</v>
      </c>
      <c r="C468" s="1" t="s">
        <v>788</v>
      </c>
      <c r="D468" s="10" t="n">
        <v>37748</v>
      </c>
      <c r="E468" s="1" t="n">
        <v>1400554932</v>
      </c>
      <c r="F468" s="2" t="s">
        <v>789</v>
      </c>
      <c r="G468" s="3" t="s">
        <v>790</v>
      </c>
      <c r="H468" s="3" t="s">
        <v>791</v>
      </c>
      <c r="K468" s="1" t="s">
        <v>49</v>
      </c>
    </row>
    <row r="469" customFormat="false" ht="15" hidden="false" customHeight="false" outlineLevel="0" collapsed="false">
      <c r="A469" s="1" t="s">
        <v>62</v>
      </c>
      <c r="B469" s="10" t="n">
        <v>45393</v>
      </c>
      <c r="C469" s="1" t="s">
        <v>792</v>
      </c>
      <c r="D469" s="10" t="n">
        <v>27998</v>
      </c>
      <c r="E469" s="1" t="n">
        <v>1006848897</v>
      </c>
      <c r="F469" s="2" t="s">
        <v>793</v>
      </c>
      <c r="G469" s="3" t="s">
        <v>794</v>
      </c>
      <c r="H469" s="3" t="s">
        <v>795</v>
      </c>
      <c r="K469" s="1" t="s">
        <v>49</v>
      </c>
    </row>
    <row r="470" customFormat="false" ht="15" hidden="false" customHeight="false" outlineLevel="0" collapsed="false">
      <c r="A470" s="1" t="s">
        <v>14</v>
      </c>
      <c r="B470" s="10" t="n">
        <v>45393</v>
      </c>
      <c r="C470" s="1" t="s">
        <v>796</v>
      </c>
      <c r="D470" s="10" t="n">
        <v>19007</v>
      </c>
      <c r="E470" s="1" t="n">
        <v>1401129153</v>
      </c>
      <c r="F470" s="2" t="s">
        <v>313</v>
      </c>
      <c r="G470" s="3" t="s">
        <v>797</v>
      </c>
      <c r="H470" s="3" t="s">
        <v>798</v>
      </c>
      <c r="K470" s="1" t="s">
        <v>49</v>
      </c>
    </row>
    <row r="471" customFormat="false" ht="15" hidden="false" customHeight="false" outlineLevel="0" collapsed="false">
      <c r="B471" s="10" t="n">
        <v>45394</v>
      </c>
      <c r="C471" s="1" t="s">
        <v>799</v>
      </c>
      <c r="D471" s="10" t="n">
        <v>26765</v>
      </c>
      <c r="E471" s="1" t="n">
        <v>1401682023</v>
      </c>
    </row>
    <row r="472" customFormat="false" ht="15" hidden="false" customHeight="false" outlineLevel="0" collapsed="false">
      <c r="A472" s="1" t="s">
        <v>14</v>
      </c>
      <c r="B472" s="10" t="n">
        <v>45395</v>
      </c>
      <c r="C472" s="1" t="s">
        <v>800</v>
      </c>
      <c r="D472" s="10" t="n">
        <v>26352</v>
      </c>
      <c r="E472" s="1" t="n">
        <v>1205218011</v>
      </c>
      <c r="F472" s="2" t="s">
        <v>178</v>
      </c>
      <c r="G472" s="3" t="s">
        <v>801</v>
      </c>
      <c r="H472" s="3" t="s">
        <v>802</v>
      </c>
      <c r="K472" s="1" t="s">
        <v>49</v>
      </c>
    </row>
    <row r="473" customFormat="false" ht="15" hidden="false" customHeight="false" outlineLevel="0" collapsed="false">
      <c r="B473" s="10" t="n">
        <v>45396</v>
      </c>
      <c r="C473" s="1" t="s">
        <v>803</v>
      </c>
      <c r="D473" s="10" t="n">
        <v>37262</v>
      </c>
      <c r="E473" s="1" t="n">
        <v>1401682906</v>
      </c>
    </row>
    <row r="474" customFormat="false" ht="15" hidden="false" customHeight="false" outlineLevel="0" collapsed="false">
      <c r="B474" s="10" t="n">
        <v>45396</v>
      </c>
      <c r="C474" s="1" t="s">
        <v>804</v>
      </c>
      <c r="D474" s="10" t="n">
        <v>41384</v>
      </c>
      <c r="E474" s="1" t="n">
        <v>1100059771</v>
      </c>
    </row>
    <row r="475" customFormat="false" ht="15" hidden="false" customHeight="false" outlineLevel="0" collapsed="false">
      <c r="B475" s="10" t="n">
        <v>45398</v>
      </c>
      <c r="C475" s="1" t="s">
        <v>805</v>
      </c>
      <c r="D475" s="10" t="n">
        <v>39086</v>
      </c>
      <c r="E475" s="1" t="n">
        <v>1102702884</v>
      </c>
    </row>
    <row r="476" customFormat="false" ht="15" hidden="false" customHeight="false" outlineLevel="0" collapsed="false">
      <c r="B476" s="10" t="n">
        <v>45398</v>
      </c>
      <c r="C476" s="1" t="s">
        <v>806</v>
      </c>
      <c r="D476" s="10" t="n">
        <v>40711</v>
      </c>
      <c r="E476" s="1" t="n">
        <v>1010141766</v>
      </c>
    </row>
    <row r="477" customFormat="false" ht="15" hidden="false" customHeight="false" outlineLevel="0" collapsed="false">
      <c r="B477" s="10" t="n">
        <v>45399</v>
      </c>
      <c r="C477" s="1" t="s">
        <v>807</v>
      </c>
      <c r="D477" s="10" t="n">
        <v>32651</v>
      </c>
      <c r="E477" s="1" t="n">
        <v>1401671274</v>
      </c>
    </row>
    <row r="478" customFormat="false" ht="15" hidden="false" customHeight="false" outlineLevel="0" collapsed="false">
      <c r="B478" s="10" t="n">
        <v>45399</v>
      </c>
      <c r="C478" s="1" t="s">
        <v>803</v>
      </c>
      <c r="D478" s="10" t="n">
        <v>37262</v>
      </c>
      <c r="E478" s="1" t="n">
        <v>1401682906</v>
      </c>
    </row>
    <row r="479" customFormat="false" ht="15" hidden="false" customHeight="false" outlineLevel="0" collapsed="false">
      <c r="B479" s="10" t="n">
        <v>45399</v>
      </c>
      <c r="C479" s="1" t="s">
        <v>808</v>
      </c>
      <c r="D479" s="10" t="n">
        <v>33510</v>
      </c>
      <c r="E479" s="1" t="n">
        <v>1401687339</v>
      </c>
    </row>
    <row r="480" customFormat="false" ht="15" hidden="false" customHeight="false" outlineLevel="0" collapsed="false">
      <c r="B480" s="10" t="n">
        <v>45400</v>
      </c>
      <c r="C480" s="1" t="s">
        <v>809</v>
      </c>
      <c r="D480" s="10" t="n">
        <v>32997</v>
      </c>
      <c r="E480" s="1" t="n">
        <v>1401688103</v>
      </c>
    </row>
    <row r="481" customFormat="false" ht="15" hidden="false" customHeight="false" outlineLevel="0" collapsed="false">
      <c r="B481" s="10" t="n">
        <v>45400</v>
      </c>
      <c r="C481" s="1" t="s">
        <v>810</v>
      </c>
      <c r="D481" s="10" t="n">
        <v>29656</v>
      </c>
      <c r="E481" s="1" t="n">
        <v>1200640730</v>
      </c>
    </row>
    <row r="482" customFormat="false" ht="15" hidden="false" customHeight="false" outlineLevel="0" collapsed="false">
      <c r="B482" s="10" t="n">
        <v>45400</v>
      </c>
      <c r="C482" s="1" t="s">
        <v>811</v>
      </c>
      <c r="D482" s="10" t="n">
        <v>39035</v>
      </c>
      <c r="E482" s="1" t="n">
        <v>1400350754</v>
      </c>
    </row>
    <row r="483" customFormat="false" ht="15" hidden="false" customHeight="false" outlineLevel="0" collapsed="false">
      <c r="B483" s="10" t="n">
        <v>45400</v>
      </c>
      <c r="C483" s="1" t="s">
        <v>812</v>
      </c>
      <c r="D483" s="10" t="n">
        <v>38554</v>
      </c>
      <c r="E483" s="1" t="n">
        <v>1401689133</v>
      </c>
    </row>
    <row r="484" customFormat="false" ht="15" hidden="false" customHeight="false" outlineLevel="0" collapsed="false">
      <c r="B484" s="10" t="n">
        <v>45401</v>
      </c>
      <c r="C484" s="1" t="s">
        <v>812</v>
      </c>
      <c r="D484" s="10" t="n">
        <v>38554</v>
      </c>
      <c r="E484" s="1" t="n">
        <v>1401689133</v>
      </c>
    </row>
    <row r="485" customFormat="false" ht="15" hidden="false" customHeight="false" outlineLevel="0" collapsed="false">
      <c r="B485" s="10" t="n">
        <v>45404</v>
      </c>
      <c r="C485" s="1" t="s">
        <v>813</v>
      </c>
      <c r="D485" s="10" t="n">
        <v>45042</v>
      </c>
      <c r="E485" s="1" t="n">
        <v>1401194873</v>
      </c>
    </row>
    <row r="486" customFormat="false" ht="15" hidden="false" customHeight="false" outlineLevel="0" collapsed="false">
      <c r="B486" s="10" t="n">
        <v>45404</v>
      </c>
      <c r="C486" s="1" t="s">
        <v>814</v>
      </c>
      <c r="D486" s="10" t="n">
        <v>28292</v>
      </c>
      <c r="E486" s="1" t="n">
        <v>1401691501</v>
      </c>
    </row>
    <row r="487" customFormat="false" ht="15" hidden="false" customHeight="false" outlineLevel="0" collapsed="false">
      <c r="B487" s="10" t="n">
        <v>45039</v>
      </c>
      <c r="C487" s="1" t="s">
        <v>814</v>
      </c>
      <c r="D487" s="10" t="n">
        <v>28292</v>
      </c>
      <c r="E487" s="1" t="n">
        <v>1401691501</v>
      </c>
    </row>
    <row r="488" customFormat="false" ht="15" hidden="false" customHeight="false" outlineLevel="0" collapsed="false">
      <c r="B488" s="10" t="n">
        <v>45040</v>
      </c>
      <c r="C488" s="1" t="s">
        <v>814</v>
      </c>
      <c r="D488" s="10" t="n">
        <v>28292</v>
      </c>
      <c r="E488" s="1" t="n">
        <v>1401691501</v>
      </c>
    </row>
    <row r="489" customFormat="false" ht="15" hidden="false" customHeight="false" outlineLevel="0" collapsed="false">
      <c r="B489" s="10" t="n">
        <v>45405</v>
      </c>
      <c r="C489" s="1" t="s">
        <v>815</v>
      </c>
      <c r="D489" s="10" t="n">
        <v>19612</v>
      </c>
      <c r="E489" s="1" t="n">
        <v>1008512745</v>
      </c>
    </row>
    <row r="490" customFormat="false" ht="15" hidden="false" customHeight="false" outlineLevel="0" collapsed="false">
      <c r="B490" s="10" t="n">
        <v>45406</v>
      </c>
      <c r="C490" s="1" t="s">
        <v>815</v>
      </c>
      <c r="D490" s="10" t="n">
        <v>19612</v>
      </c>
      <c r="E490" s="1" t="n">
        <v>1008512745</v>
      </c>
    </row>
    <row r="491" customFormat="false" ht="15" hidden="false" customHeight="false" outlineLevel="0" collapsed="false">
      <c r="B491" s="10" t="n">
        <v>45406</v>
      </c>
      <c r="C491" s="1" t="s">
        <v>816</v>
      </c>
      <c r="D491" s="10" t="n">
        <v>35833</v>
      </c>
      <c r="E491" s="1" t="n">
        <v>1401695595</v>
      </c>
    </row>
    <row r="492" customFormat="false" ht="15" hidden="false" customHeight="false" outlineLevel="0" collapsed="false">
      <c r="B492" s="10" t="n">
        <v>45407</v>
      </c>
      <c r="C492" s="1" t="s">
        <v>817</v>
      </c>
      <c r="D492" s="10" t="n">
        <v>24853</v>
      </c>
      <c r="E492" s="1" t="n">
        <v>1205817248</v>
      </c>
    </row>
    <row r="493" customFormat="false" ht="15" hidden="false" customHeight="false" outlineLevel="0" collapsed="false">
      <c r="B493" s="10" t="n">
        <v>45408</v>
      </c>
      <c r="C493" s="1" t="s">
        <v>818</v>
      </c>
      <c r="D493" s="10" t="n">
        <v>30882</v>
      </c>
      <c r="E493" s="1" t="n">
        <v>1400895526</v>
      </c>
    </row>
    <row r="494" customFormat="false" ht="15" hidden="false" customHeight="false" outlineLevel="0" collapsed="false">
      <c r="B494" s="10" t="n">
        <v>45408</v>
      </c>
      <c r="C494" s="1" t="s">
        <v>819</v>
      </c>
      <c r="D494" s="10" t="n">
        <v>42733</v>
      </c>
      <c r="E494" s="1" t="n">
        <v>1200151610</v>
      </c>
    </row>
    <row r="495" customFormat="false" ht="15" hidden="false" customHeight="false" outlineLevel="0" collapsed="false">
      <c r="B495" s="10" t="n">
        <v>45410</v>
      </c>
      <c r="C495" s="1" t="s">
        <v>820</v>
      </c>
      <c r="D495" s="10" t="n">
        <v>35217</v>
      </c>
      <c r="E495" s="1" t="n">
        <v>1401699637</v>
      </c>
    </row>
    <row r="496" customFormat="false" ht="15" hidden="false" customHeight="false" outlineLevel="0" collapsed="false">
      <c r="B496" s="10" t="n">
        <v>45410</v>
      </c>
      <c r="C496" s="1" t="s">
        <v>821</v>
      </c>
      <c r="D496" s="10" t="n">
        <v>39980</v>
      </c>
      <c r="E496" s="1" t="n">
        <v>1009240809</v>
      </c>
    </row>
    <row r="497" customFormat="false" ht="15" hidden="false" customHeight="false" outlineLevel="0" collapsed="false">
      <c r="B497" s="10" t="n">
        <v>45411</v>
      </c>
      <c r="C497" s="1" t="s">
        <v>822</v>
      </c>
      <c r="D497" s="10" t="n">
        <v>12114</v>
      </c>
      <c r="E497" s="1" t="n">
        <v>1003471705</v>
      </c>
    </row>
    <row r="498" customFormat="false" ht="15" hidden="false" customHeight="false" outlineLevel="0" collapsed="false">
      <c r="B498" s="10" t="n">
        <v>45413</v>
      </c>
      <c r="C498" s="1" t="s">
        <v>823</v>
      </c>
      <c r="D498" s="10" t="n">
        <v>39349</v>
      </c>
      <c r="E498" s="1" t="n">
        <v>1008419433</v>
      </c>
    </row>
    <row r="499" customFormat="false" ht="15" hidden="false" customHeight="false" outlineLevel="0" collapsed="false">
      <c r="B499" s="10" t="n">
        <v>45413</v>
      </c>
      <c r="C499" s="1" t="s">
        <v>824</v>
      </c>
      <c r="D499" s="10" t="n">
        <v>36169</v>
      </c>
      <c r="E499" s="1" t="n">
        <v>1004860468</v>
      </c>
    </row>
    <row r="500" customFormat="false" ht="15" hidden="false" customHeight="false" outlineLevel="0" collapsed="false">
      <c r="B500" s="10" t="n">
        <v>45414</v>
      </c>
      <c r="C500" s="1" t="s">
        <v>824</v>
      </c>
      <c r="D500" s="10" t="n">
        <v>36169</v>
      </c>
      <c r="E500" s="1" t="n">
        <v>1004860468</v>
      </c>
    </row>
    <row r="501" customFormat="false" ht="15" hidden="false" customHeight="false" outlineLevel="0" collapsed="false">
      <c r="B501" s="10" t="n">
        <v>45413</v>
      </c>
      <c r="C501" s="1" t="s">
        <v>825</v>
      </c>
      <c r="D501" s="10" t="n">
        <v>34879</v>
      </c>
      <c r="E501" s="1" t="n">
        <v>1401704165</v>
      </c>
    </row>
    <row r="502" customFormat="false" ht="15" hidden="false" customHeight="false" outlineLevel="0" collapsed="false">
      <c r="B502" s="10" t="n">
        <v>45414</v>
      </c>
      <c r="C502" s="1" t="s">
        <v>826</v>
      </c>
      <c r="D502" s="10" t="n">
        <v>35916</v>
      </c>
      <c r="E502" s="1" t="n">
        <v>1400862369</v>
      </c>
    </row>
    <row r="503" customFormat="false" ht="15" hidden="false" customHeight="false" outlineLevel="0" collapsed="false">
      <c r="B503" s="10" t="n">
        <v>45414</v>
      </c>
      <c r="C503" s="1" t="s">
        <v>827</v>
      </c>
      <c r="D503" s="10" t="n">
        <v>13654</v>
      </c>
      <c r="E503" s="1" t="n">
        <v>1000060508</v>
      </c>
    </row>
  </sheetData>
  <mergeCells count="51">
    <mergeCell ref="A35:A36"/>
    <mergeCell ref="F35:F36"/>
    <mergeCell ref="G35:G36"/>
    <mergeCell ref="H35:H36"/>
    <mergeCell ref="I35:I36"/>
    <mergeCell ref="K35:K36"/>
    <mergeCell ref="L35:L36"/>
    <mergeCell ref="N35:N36"/>
    <mergeCell ref="F45:F46"/>
    <mergeCell ref="G45:G46"/>
    <mergeCell ref="H45:H46"/>
    <mergeCell ref="I45:I46"/>
    <mergeCell ref="K45:K46"/>
    <mergeCell ref="L45:L46"/>
    <mergeCell ref="M45:M46"/>
    <mergeCell ref="N45:N46"/>
    <mergeCell ref="A51:A53"/>
    <mergeCell ref="F51:F53"/>
    <mergeCell ref="G51:G53"/>
    <mergeCell ref="H51:H53"/>
    <mergeCell ref="I51:I53"/>
    <mergeCell ref="K51:K53"/>
    <mergeCell ref="F59:F60"/>
    <mergeCell ref="G59:G60"/>
    <mergeCell ref="H59:H60"/>
    <mergeCell ref="I59:I60"/>
    <mergeCell ref="K59:K60"/>
    <mergeCell ref="N59:N60"/>
    <mergeCell ref="A109:A111"/>
    <mergeCell ref="F109:F111"/>
    <mergeCell ref="G109:G111"/>
    <mergeCell ref="H109:H111"/>
    <mergeCell ref="K109:K111"/>
    <mergeCell ref="A132:A134"/>
    <mergeCell ref="N132:N134"/>
    <mergeCell ref="A136:A138"/>
    <mergeCell ref="N136:N138"/>
    <mergeCell ref="A141:A142"/>
    <mergeCell ref="A164:A165"/>
    <mergeCell ref="A181:A182"/>
    <mergeCell ref="A183:A184"/>
    <mergeCell ref="A186:A187"/>
    <mergeCell ref="A188:A189"/>
    <mergeCell ref="A274:A275"/>
    <mergeCell ref="F274:F275"/>
    <mergeCell ref="G274:G275"/>
    <mergeCell ref="H274:H275"/>
    <mergeCell ref="I274:I275"/>
    <mergeCell ref="K274:K275"/>
    <mergeCell ref="L274:L275"/>
    <mergeCell ref="M274:M275"/>
  </mergeCells>
  <conditionalFormatting sqref="E1:E1048576">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13"/>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pane xSplit="1" ySplit="0" topLeftCell="B1" activePane="topRight" state="frozen"/>
      <selection pane="topLeft" activeCell="A1" activeCellId="0" sqref="A1"/>
      <selection pane="topRight" activeCell="A1" activeCellId="0" sqref="A1"/>
    </sheetView>
  </sheetViews>
  <sheetFormatPr defaultColWidth="8.83203125" defaultRowHeight="15" customHeight="true" zeroHeight="false" outlineLevelRow="0" outlineLevelCol="0"/>
  <cols>
    <col collapsed="false" customWidth="true" hidden="false" outlineLevel="0" max="1" min="1" style="0" width="14.33"/>
    <col collapsed="false" customWidth="true" hidden="false" outlineLevel="0" max="2" min="2" style="0" width="7.67"/>
    <col collapsed="false" customWidth="true" hidden="false" outlineLevel="0" max="3" min="3" style="0" width="18"/>
    <col collapsed="false" customWidth="true" hidden="false" outlineLevel="0" max="4" min="4" style="0" width="4.5"/>
    <col collapsed="false" customWidth="true" hidden="false" outlineLevel="0" max="5" min="5" style="0" width="5.83"/>
    <col collapsed="false" customWidth="true" hidden="false" outlineLevel="0" max="6" min="6" style="0" width="4.5"/>
    <col collapsed="false" customWidth="true" hidden="false" outlineLevel="0" max="7" min="7" style="0" width="4.67"/>
    <col collapsed="false" customWidth="true" hidden="false" outlineLevel="0" max="8" min="8" style="0" width="23.5"/>
    <col collapsed="false" customWidth="true" hidden="false" outlineLevel="0" max="10" min="10" style="0" width="12.5"/>
    <col collapsed="false" customWidth="true" hidden="false" outlineLevel="0" max="11" min="11" style="0" width="15"/>
    <col collapsed="false" customWidth="true" hidden="false" outlineLevel="0" max="13" min="12" style="0" width="18.5"/>
    <col collapsed="false" customWidth="true" hidden="false" outlineLevel="0" max="16" min="14" style="0" width="20.51"/>
    <col collapsed="false" customWidth="true" hidden="false" outlineLevel="0" max="17" min="17" style="0" width="17.5"/>
    <col collapsed="false" customWidth="true" hidden="false" outlineLevel="0" max="21" min="18" style="34" width="40.67"/>
    <col collapsed="false" customWidth="true" hidden="false" outlineLevel="0" max="22" min="22" style="0" width="36.5"/>
    <col collapsed="false" customWidth="true" hidden="false" outlineLevel="0" max="23" min="23" style="0" width="18.5"/>
    <col collapsed="false" customWidth="true" hidden="false" outlineLevel="0" max="24" min="24" style="0" width="22.33"/>
    <col collapsed="false" customWidth="true" hidden="false" outlineLevel="0" max="25" min="25" style="0" width="17.5"/>
    <col collapsed="false" customWidth="true" hidden="false" outlineLevel="0" max="26" min="26" style="0" width="20.16"/>
    <col collapsed="false" customWidth="true" hidden="false" outlineLevel="0" max="27" min="27" style="0" width="16.5"/>
    <col collapsed="false" customWidth="true" hidden="false" outlineLevel="0" max="28" min="28" style="0" width="20"/>
    <col collapsed="false" customWidth="true" hidden="false" outlineLevel="0" max="40" min="39" style="0" width="17"/>
    <col collapsed="false" customWidth="true" hidden="false" outlineLevel="0" max="16384" min="16384" style="0" width="11.53"/>
  </cols>
  <sheetData>
    <row r="1" s="38" customFormat="true" ht="15" hidden="false" customHeight="false" outlineLevel="0" collapsed="false">
      <c r="A1" s="35" t="s">
        <v>828</v>
      </c>
      <c r="B1" s="35" t="s">
        <v>829</v>
      </c>
      <c r="C1" s="35" t="s">
        <v>830</v>
      </c>
      <c r="D1" s="35" t="s">
        <v>831</v>
      </c>
      <c r="E1" s="35" t="s">
        <v>832</v>
      </c>
      <c r="F1" s="35" t="s">
        <v>833</v>
      </c>
      <c r="G1" s="35" t="s">
        <v>834</v>
      </c>
      <c r="H1" s="35" t="s">
        <v>835</v>
      </c>
      <c r="I1" s="35" t="s">
        <v>836</v>
      </c>
      <c r="J1" s="35" t="s">
        <v>837</v>
      </c>
      <c r="K1" s="35" t="s">
        <v>838</v>
      </c>
      <c r="L1" s="35" t="s">
        <v>839</v>
      </c>
      <c r="M1" s="35" t="s">
        <v>840</v>
      </c>
      <c r="N1" s="35" t="s">
        <v>841</v>
      </c>
      <c r="O1" s="35" t="s">
        <v>842</v>
      </c>
      <c r="P1" s="35" t="s">
        <v>843</v>
      </c>
      <c r="Q1" s="35" t="s">
        <v>844</v>
      </c>
      <c r="R1" s="36" t="s">
        <v>845</v>
      </c>
      <c r="S1" s="36" t="s">
        <v>846</v>
      </c>
      <c r="T1" s="36" t="s">
        <v>847</v>
      </c>
      <c r="U1" s="36" t="s">
        <v>848</v>
      </c>
      <c r="V1" s="35" t="s">
        <v>849</v>
      </c>
      <c r="W1" s="35" t="s">
        <v>850</v>
      </c>
      <c r="X1" s="35" t="s">
        <v>851</v>
      </c>
      <c r="Y1" s="37" t="s">
        <v>852</v>
      </c>
      <c r="Z1" s="37"/>
      <c r="AA1" s="37"/>
      <c r="AS1" s="0"/>
    </row>
    <row r="2" customFormat="false" ht="59.5" hidden="false" customHeight="false" outlineLevel="0" collapsed="false">
      <c r="A2" s="3" t="s">
        <v>738</v>
      </c>
      <c r="B2" s="3" t="s">
        <v>853</v>
      </c>
      <c r="C2" s="0" t="s">
        <v>854</v>
      </c>
      <c r="D2" s="0" t="n">
        <v>1</v>
      </c>
      <c r="E2" s="0" t="n">
        <v>114</v>
      </c>
      <c r="F2" s="0" t="n">
        <v>120</v>
      </c>
      <c r="G2" s="0" t="n">
        <v>15</v>
      </c>
      <c r="H2" s="0" t="s">
        <v>138</v>
      </c>
      <c r="I2" s="0" t="s">
        <v>138</v>
      </c>
      <c r="J2" s="0" t="s">
        <v>138</v>
      </c>
      <c r="K2" s="0" t="s">
        <v>138</v>
      </c>
      <c r="L2" s="0" t="n">
        <v>5</v>
      </c>
      <c r="M2" s="0" t="str">
        <f aca="false">IF($L2&gt;17,"ICU","GMF")</f>
        <v>GMF</v>
      </c>
      <c r="N2" s="0" t="s">
        <v>855</v>
      </c>
      <c r="Q2" s="0" t="s">
        <v>856</v>
      </c>
      <c r="R2" s="34" t="s">
        <v>857</v>
      </c>
      <c r="S2" s="34" t="s">
        <v>138</v>
      </c>
      <c r="T2" s="34" t="s">
        <v>138</v>
      </c>
      <c r="U2" s="34" t="s">
        <v>138</v>
      </c>
      <c r="V2" s="34" t="s">
        <v>858</v>
      </c>
      <c r="W2" s="0" t="s">
        <v>859</v>
      </c>
      <c r="X2" s="0" t="s">
        <v>731</v>
      </c>
      <c r="Y2" s="0" t="s">
        <v>731</v>
      </c>
      <c r="AA2" s="39" t="s">
        <v>860</v>
      </c>
      <c r="AB2" s="39" t="s">
        <v>861</v>
      </c>
    </row>
    <row r="3" customFormat="false" ht="15" hidden="false" customHeight="false" outlineLevel="0" collapsed="false">
      <c r="A3" s="3" t="s">
        <v>47</v>
      </c>
      <c r="B3" s="3" t="s">
        <v>853</v>
      </c>
      <c r="C3" s="0" t="s">
        <v>862</v>
      </c>
      <c r="D3" s="0" t="n">
        <v>2</v>
      </c>
      <c r="E3" s="0" t="n">
        <v>116</v>
      </c>
      <c r="F3" s="0" t="s">
        <v>863</v>
      </c>
      <c r="G3" s="0" t="n">
        <v>15</v>
      </c>
      <c r="H3" s="0" t="s">
        <v>138</v>
      </c>
      <c r="I3" s="0" t="s">
        <v>138</v>
      </c>
      <c r="J3" s="0" t="s">
        <v>138</v>
      </c>
      <c r="K3" s="0" t="s">
        <v>138</v>
      </c>
      <c r="M3" s="0" t="str">
        <f aca="false">IF($L3&gt;17,"ICU","GMF")</f>
        <v>GMF</v>
      </c>
      <c r="Q3" s="0" t="s">
        <v>856</v>
      </c>
      <c r="R3" s="34" t="s">
        <v>178</v>
      </c>
      <c r="S3" s="40" t="s">
        <v>138</v>
      </c>
      <c r="T3" s="40" t="s">
        <v>138</v>
      </c>
      <c r="U3" s="40"/>
      <c r="W3" s="0" t="s">
        <v>864</v>
      </c>
      <c r="X3" s="34" t="s">
        <v>731</v>
      </c>
      <c r="Y3" s="0" t="s">
        <v>138</v>
      </c>
      <c r="AA3" s="39" t="s">
        <v>865</v>
      </c>
      <c r="AB3" s="39" t="s">
        <v>864</v>
      </c>
    </row>
    <row r="4" customFormat="false" ht="36.5" hidden="false" customHeight="false" outlineLevel="0" collapsed="false">
      <c r="A4" s="3" t="s">
        <v>745</v>
      </c>
      <c r="B4" s="3" t="s">
        <v>866</v>
      </c>
      <c r="C4" s="0" t="s">
        <v>867</v>
      </c>
      <c r="D4" s="0" t="n">
        <v>2</v>
      </c>
      <c r="E4" s="0" t="n">
        <v>112</v>
      </c>
      <c r="F4" s="0" t="s">
        <v>863</v>
      </c>
      <c r="G4" s="0" t="n">
        <v>15</v>
      </c>
      <c r="H4" s="0" t="s">
        <v>138</v>
      </c>
      <c r="I4" s="0" t="s">
        <v>138</v>
      </c>
      <c r="J4" s="0" t="s">
        <v>138</v>
      </c>
      <c r="K4" s="0" t="s">
        <v>138</v>
      </c>
      <c r="M4" s="0" t="str">
        <f aca="false">IF($L4&gt;17,"ICU","GMF")</f>
        <v>GMF</v>
      </c>
      <c r="Q4" s="0" t="s">
        <v>856</v>
      </c>
      <c r="R4" s="34" t="s">
        <v>868</v>
      </c>
      <c r="S4" s="34" t="s">
        <v>138</v>
      </c>
      <c r="T4" s="34" t="s">
        <v>138</v>
      </c>
      <c r="U4" s="34" t="s">
        <v>138</v>
      </c>
      <c r="V4" s="34" t="s">
        <v>869</v>
      </c>
      <c r="W4" s="0" t="s">
        <v>859</v>
      </c>
      <c r="X4" s="0" t="s">
        <v>731</v>
      </c>
      <c r="AA4" s="39" t="s">
        <v>862</v>
      </c>
      <c r="AB4" s="39" t="s">
        <v>870</v>
      </c>
    </row>
    <row r="5" s="43" customFormat="true" ht="25" hidden="false" customHeight="false" outlineLevel="0" collapsed="false">
      <c r="A5" s="41" t="s">
        <v>307</v>
      </c>
      <c r="B5" s="41" t="s">
        <v>853</v>
      </c>
      <c r="C5" s="42" t="s">
        <v>871</v>
      </c>
      <c r="D5" s="43" t="n">
        <v>3</v>
      </c>
      <c r="E5" s="43" t="n">
        <v>102</v>
      </c>
      <c r="F5" s="43" t="n">
        <v>92</v>
      </c>
      <c r="G5" s="43" t="n">
        <v>15</v>
      </c>
      <c r="H5" s="42" t="s">
        <v>138</v>
      </c>
      <c r="I5" s="42" t="s">
        <v>138</v>
      </c>
      <c r="J5" s="42" t="s">
        <v>138</v>
      </c>
      <c r="K5" s="42" t="s">
        <v>138</v>
      </c>
      <c r="L5" s="43" t="n">
        <v>7</v>
      </c>
      <c r="M5" s="43" t="str">
        <f aca="false">IF($L5&gt;17,"ICU","GMF")</f>
        <v>GMF</v>
      </c>
      <c r="N5" s="43" t="s">
        <v>872</v>
      </c>
      <c r="Q5" s="43" t="s">
        <v>856</v>
      </c>
      <c r="R5" s="44" t="s">
        <v>873</v>
      </c>
      <c r="S5" s="44" t="s">
        <v>138</v>
      </c>
      <c r="T5" s="44" t="s">
        <v>138</v>
      </c>
      <c r="U5" s="44" t="s">
        <v>138</v>
      </c>
      <c r="V5" s="44" t="s">
        <v>874</v>
      </c>
      <c r="W5" s="42" t="s">
        <v>859</v>
      </c>
      <c r="X5" s="43" t="s">
        <v>731</v>
      </c>
      <c r="AA5" s="45" t="s">
        <v>871</v>
      </c>
      <c r="AB5" s="45" t="s">
        <v>859</v>
      </c>
      <c r="AS5" s="0"/>
    </row>
    <row r="6" customFormat="false" ht="15" hidden="false" customHeight="false" outlineLevel="0" collapsed="false">
      <c r="B6" s="0" t="s">
        <v>866</v>
      </c>
      <c r="C6" s="0" t="s">
        <v>875</v>
      </c>
      <c r="D6" s="0" t="n">
        <v>7</v>
      </c>
      <c r="E6" s="0" t="n">
        <v>127</v>
      </c>
      <c r="F6" s="0" t="n">
        <v>93</v>
      </c>
      <c r="G6" s="0" t="n">
        <v>15</v>
      </c>
      <c r="H6" s="0" t="s">
        <v>731</v>
      </c>
      <c r="I6" s="0" t="s">
        <v>138</v>
      </c>
      <c r="J6" s="0" t="s">
        <v>731</v>
      </c>
      <c r="K6" s="0" t="s">
        <v>138</v>
      </c>
      <c r="L6" s="0" t="n">
        <v>15</v>
      </c>
      <c r="M6" s="0" t="str">
        <f aca="false">IF($L6&gt;17,"ICU","GMF")</f>
        <v>GMF</v>
      </c>
      <c r="N6" s="0" t="s">
        <v>872</v>
      </c>
      <c r="Q6" s="0" t="s">
        <v>856</v>
      </c>
      <c r="R6" s="34" t="s">
        <v>876</v>
      </c>
      <c r="S6" s="34" t="s">
        <v>138</v>
      </c>
      <c r="T6" s="34" t="s">
        <v>138</v>
      </c>
      <c r="U6" s="34" t="s">
        <v>138</v>
      </c>
      <c r="W6" s="0" t="s">
        <v>864</v>
      </c>
      <c r="X6" s="0" t="s">
        <v>731</v>
      </c>
      <c r="AA6" s="39" t="s">
        <v>854</v>
      </c>
      <c r="AB6" s="39" t="s">
        <v>877</v>
      </c>
    </row>
    <row r="7" customFormat="false" ht="15" hidden="false" customHeight="false" outlineLevel="0" collapsed="false">
      <c r="B7" s="0" t="s">
        <v>853</v>
      </c>
      <c r="C7" s="0" t="s">
        <v>875</v>
      </c>
      <c r="D7" s="0" t="n">
        <v>8</v>
      </c>
      <c r="E7" s="0" t="n">
        <v>117</v>
      </c>
      <c r="F7" s="0" t="n">
        <v>112</v>
      </c>
      <c r="G7" s="0" t="n">
        <v>15</v>
      </c>
      <c r="H7" s="0" t="s">
        <v>731</v>
      </c>
      <c r="I7" s="0" t="s">
        <v>138</v>
      </c>
      <c r="J7" s="0" t="s">
        <v>731</v>
      </c>
      <c r="K7" s="0" t="s">
        <v>138</v>
      </c>
      <c r="L7" s="0" t="n">
        <v>12</v>
      </c>
      <c r="M7" s="0" t="str">
        <f aca="false">IF($L7&gt;17,"ICU","GMF")</f>
        <v>GMF</v>
      </c>
      <c r="N7" s="0" t="s">
        <v>872</v>
      </c>
      <c r="Q7" s="0" t="s">
        <v>856</v>
      </c>
      <c r="R7" s="34" t="s">
        <v>876</v>
      </c>
      <c r="S7" s="34" t="s">
        <v>138</v>
      </c>
      <c r="T7" s="34" t="s">
        <v>138</v>
      </c>
      <c r="U7" s="34" t="s">
        <v>138</v>
      </c>
      <c r="W7" s="0" t="s">
        <v>864</v>
      </c>
      <c r="X7" s="0" t="s">
        <v>731</v>
      </c>
      <c r="AA7" s="39" t="s">
        <v>867</v>
      </c>
      <c r="AB7" s="39"/>
    </row>
    <row r="8" customFormat="false" ht="15" hidden="false" customHeight="false" outlineLevel="0" collapsed="false">
      <c r="B8" s="0" t="s">
        <v>866</v>
      </c>
      <c r="C8" s="0" t="s">
        <v>871</v>
      </c>
      <c r="D8" s="0" t="n">
        <v>10</v>
      </c>
      <c r="E8" s="0" t="n">
        <v>100</v>
      </c>
      <c r="F8" s="0" t="n">
        <v>114</v>
      </c>
      <c r="G8" s="0" t="n">
        <v>15</v>
      </c>
      <c r="H8" s="0" t="s">
        <v>138</v>
      </c>
      <c r="I8" s="0" t="s">
        <v>138</v>
      </c>
      <c r="J8" s="0" t="s">
        <v>138</v>
      </c>
      <c r="K8" s="0" t="s">
        <v>138</v>
      </c>
      <c r="L8" s="0" t="n">
        <v>4</v>
      </c>
      <c r="M8" s="0" t="str">
        <f aca="false">IF($L8&gt;17,"ICU","GMF")</f>
        <v>GMF</v>
      </c>
      <c r="N8" s="0" t="s">
        <v>855</v>
      </c>
      <c r="Q8" s="0" t="s">
        <v>856</v>
      </c>
      <c r="R8" s="34" t="s">
        <v>878</v>
      </c>
      <c r="S8" s="34" t="s">
        <v>138</v>
      </c>
      <c r="T8" s="34" t="s">
        <v>138</v>
      </c>
      <c r="U8" s="34" t="s">
        <v>138</v>
      </c>
      <c r="W8" s="0" t="s">
        <v>859</v>
      </c>
      <c r="X8" s="0" t="s">
        <v>731</v>
      </c>
      <c r="AA8" s="39" t="s">
        <v>875</v>
      </c>
      <c r="AB8" s="39"/>
    </row>
    <row r="9" customFormat="false" ht="25" hidden="false" customHeight="false" outlineLevel="0" collapsed="false">
      <c r="A9" s="3" t="s">
        <v>97</v>
      </c>
      <c r="B9" s="3" t="s">
        <v>853</v>
      </c>
      <c r="C9" s="0" t="s">
        <v>879</v>
      </c>
      <c r="D9" s="0" t="n">
        <v>10</v>
      </c>
      <c r="E9" s="0" t="n">
        <v>120</v>
      </c>
      <c r="F9" s="0" t="n">
        <v>105</v>
      </c>
      <c r="G9" s="0" t="n">
        <v>15</v>
      </c>
      <c r="H9" s="0" t="s">
        <v>138</v>
      </c>
      <c r="I9" s="0" t="s">
        <v>138</v>
      </c>
      <c r="J9" s="0" t="s">
        <v>731</v>
      </c>
      <c r="K9" s="0" t="s">
        <v>138</v>
      </c>
      <c r="L9" s="0" t="n">
        <v>13</v>
      </c>
      <c r="M9" s="0" t="str">
        <f aca="false">IF($L9&gt;17,"ICU","GMF")</f>
        <v>GMF</v>
      </c>
      <c r="N9" s="0" t="s">
        <v>872</v>
      </c>
      <c r="Q9" s="0" t="s">
        <v>856</v>
      </c>
      <c r="R9" s="34" t="s">
        <v>880</v>
      </c>
      <c r="S9" s="40" t="s">
        <v>138</v>
      </c>
      <c r="T9" s="40" t="s">
        <v>138</v>
      </c>
      <c r="U9" s="34" t="s">
        <v>138</v>
      </c>
      <c r="V9" s="0" t="s">
        <v>881</v>
      </c>
      <c r="W9" s="0" t="s">
        <v>859</v>
      </c>
      <c r="X9" s="0" t="s">
        <v>731</v>
      </c>
      <c r="AA9" s="39" t="s">
        <v>879</v>
      </c>
      <c r="AB9" s="39"/>
    </row>
    <row r="10" customFormat="false" ht="15" hidden="false" customHeight="false" outlineLevel="0" collapsed="false">
      <c r="A10" s="3" t="s">
        <v>381</v>
      </c>
      <c r="B10" s="3" t="s">
        <v>853</v>
      </c>
      <c r="C10" s="0" t="s">
        <v>862</v>
      </c>
      <c r="D10" s="0" t="n">
        <v>12</v>
      </c>
      <c r="E10" s="0" t="n">
        <v>81</v>
      </c>
      <c r="F10" s="0" t="n">
        <v>106</v>
      </c>
      <c r="G10" s="0" t="n">
        <v>15</v>
      </c>
      <c r="H10" s="0" t="s">
        <v>138</v>
      </c>
      <c r="I10" s="0" t="s">
        <v>138</v>
      </c>
      <c r="J10" s="0" t="s">
        <v>138</v>
      </c>
      <c r="K10" s="0" t="s">
        <v>138</v>
      </c>
      <c r="L10" s="0" t="n">
        <v>4</v>
      </c>
      <c r="M10" s="0" t="str">
        <f aca="false">IF($L10&gt;17,"ICU","GMF")</f>
        <v>GMF</v>
      </c>
      <c r="N10" s="0" t="s">
        <v>855</v>
      </c>
      <c r="Q10" s="0" t="s">
        <v>856</v>
      </c>
      <c r="R10" s="34" t="s">
        <v>882</v>
      </c>
      <c r="S10" s="34" t="s">
        <v>138</v>
      </c>
      <c r="T10" s="34" t="s">
        <v>138</v>
      </c>
      <c r="U10" s="34" t="s">
        <v>138</v>
      </c>
      <c r="W10" s="0" t="s">
        <v>870</v>
      </c>
      <c r="X10" s="0" t="s">
        <v>731</v>
      </c>
      <c r="AA10" s="39" t="s">
        <v>883</v>
      </c>
      <c r="AB10" s="39"/>
    </row>
    <row r="11" customFormat="false" ht="25" hidden="false" customHeight="false" outlineLevel="0" collapsed="false">
      <c r="A11" s="3" t="s">
        <v>415</v>
      </c>
      <c r="B11" s="0" t="s">
        <v>853</v>
      </c>
      <c r="C11" s="0" t="s">
        <v>883</v>
      </c>
      <c r="D11" s="0" t="n">
        <v>12</v>
      </c>
      <c r="E11" s="0" t="n">
        <v>91</v>
      </c>
      <c r="F11" s="0" t="n">
        <v>116</v>
      </c>
      <c r="G11" s="0" t="n">
        <v>15</v>
      </c>
      <c r="H11" s="0" t="s">
        <v>138</v>
      </c>
      <c r="I11" s="0" t="s">
        <v>138</v>
      </c>
      <c r="J11" s="0" t="s">
        <v>138</v>
      </c>
      <c r="K11" s="0" t="s">
        <v>138</v>
      </c>
      <c r="L11" s="0" t="n">
        <v>3</v>
      </c>
      <c r="M11" s="0" t="str">
        <f aca="false">IF($L11&gt;17,"ICU","GMF")</f>
        <v>GMF</v>
      </c>
      <c r="N11" s="0" t="s">
        <v>855</v>
      </c>
      <c r="Q11" s="0" t="s">
        <v>856</v>
      </c>
      <c r="R11" s="34" t="s">
        <v>414</v>
      </c>
      <c r="S11" s="34" t="s">
        <v>138</v>
      </c>
      <c r="T11" s="34" t="s">
        <v>138</v>
      </c>
      <c r="U11" s="34" t="s">
        <v>138</v>
      </c>
      <c r="V11" s="34" t="s">
        <v>884</v>
      </c>
      <c r="W11" s="0" t="s">
        <v>859</v>
      </c>
      <c r="X11" s="0" t="s">
        <v>731</v>
      </c>
    </row>
    <row r="12" customFormat="false" ht="25" hidden="false" customHeight="false" outlineLevel="0" collapsed="false">
      <c r="B12" s="0" t="s">
        <v>853</v>
      </c>
      <c r="C12" s="0" t="s">
        <v>879</v>
      </c>
      <c r="D12" s="0" t="n">
        <v>12</v>
      </c>
      <c r="E12" s="0" t="n">
        <v>97</v>
      </c>
      <c r="F12" s="0" t="n">
        <v>127</v>
      </c>
      <c r="G12" s="0" t="n">
        <v>14</v>
      </c>
      <c r="H12" s="0" t="s">
        <v>138</v>
      </c>
      <c r="I12" s="0" t="s">
        <v>138</v>
      </c>
      <c r="J12" s="0" t="s">
        <v>138</v>
      </c>
      <c r="K12" s="0" t="s">
        <v>138</v>
      </c>
      <c r="L12" s="0" t="n">
        <v>5</v>
      </c>
      <c r="M12" s="0" t="str">
        <f aca="false">IF($L12&gt;17,"ICU","GMF")</f>
        <v>GMF</v>
      </c>
      <c r="N12" s="0" t="s">
        <v>855</v>
      </c>
      <c r="Q12" s="0" t="s">
        <v>856</v>
      </c>
      <c r="R12" s="34" t="s">
        <v>885</v>
      </c>
      <c r="S12" s="34" t="s">
        <v>138</v>
      </c>
      <c r="T12" s="34" t="s">
        <v>138</v>
      </c>
      <c r="U12" s="34" t="s">
        <v>138</v>
      </c>
      <c r="V12" s="0" t="s">
        <v>886</v>
      </c>
      <c r="W12" s="0" t="s">
        <v>864</v>
      </c>
      <c r="X12" s="0" t="s">
        <v>731</v>
      </c>
    </row>
    <row r="13" customFormat="false" ht="15" hidden="false" customHeight="false" outlineLevel="0" collapsed="false">
      <c r="B13" s="0" t="s">
        <v>887</v>
      </c>
      <c r="C13" s="0" t="s">
        <v>871</v>
      </c>
      <c r="D13" s="0" t="n">
        <v>13</v>
      </c>
      <c r="E13" s="0" t="n">
        <v>114</v>
      </c>
      <c r="F13" s="0" t="n">
        <v>119</v>
      </c>
      <c r="G13" s="0" t="n">
        <v>15</v>
      </c>
      <c r="H13" s="0" t="s">
        <v>138</v>
      </c>
      <c r="I13" s="0" t="s">
        <v>138</v>
      </c>
      <c r="J13" s="0" t="s">
        <v>731</v>
      </c>
      <c r="K13" s="0" t="s">
        <v>138</v>
      </c>
      <c r="L13" s="0" t="n">
        <v>10</v>
      </c>
      <c r="M13" s="0" t="str">
        <f aca="false">IF($L13&gt;17,"ICU","GMF")</f>
        <v>GMF</v>
      </c>
      <c r="N13" s="0" t="s">
        <v>872</v>
      </c>
      <c r="Q13" s="0" t="s">
        <v>856</v>
      </c>
      <c r="R13" s="34" t="s">
        <v>888</v>
      </c>
      <c r="S13" s="34" t="s">
        <v>138</v>
      </c>
      <c r="T13" s="34" t="s">
        <v>138</v>
      </c>
      <c r="U13" s="34" t="s">
        <v>138</v>
      </c>
      <c r="V13" s="0" t="s">
        <v>886</v>
      </c>
      <c r="W13" s="0" t="s">
        <v>859</v>
      </c>
      <c r="X13" s="0" t="s">
        <v>731</v>
      </c>
    </row>
    <row r="14" customFormat="false" ht="25" hidden="false" customHeight="false" outlineLevel="0" collapsed="false">
      <c r="B14" s="0" t="s">
        <v>853</v>
      </c>
      <c r="C14" s="0" t="s">
        <v>879</v>
      </c>
      <c r="D14" s="0" t="n">
        <v>13</v>
      </c>
      <c r="E14" s="0" t="n">
        <v>101</v>
      </c>
      <c r="F14" s="0" t="n">
        <v>104</v>
      </c>
      <c r="G14" s="0" t="n">
        <v>15</v>
      </c>
      <c r="H14" s="0" t="s">
        <v>138</v>
      </c>
      <c r="I14" s="0" t="s">
        <v>138</v>
      </c>
      <c r="J14" s="0" t="s">
        <v>731</v>
      </c>
      <c r="K14" s="0" t="s">
        <v>138</v>
      </c>
      <c r="L14" s="0" t="n">
        <v>12</v>
      </c>
      <c r="M14" s="0" t="str">
        <f aca="false">IF($L14&gt;17,"ICU","GMF")</f>
        <v>GMF</v>
      </c>
      <c r="N14" s="0" t="s">
        <v>872</v>
      </c>
      <c r="Q14" s="0" t="s">
        <v>856</v>
      </c>
      <c r="R14" s="34" t="s">
        <v>889</v>
      </c>
      <c r="S14" s="40" t="s">
        <v>138</v>
      </c>
      <c r="T14" s="40" t="s">
        <v>138</v>
      </c>
      <c r="U14" s="40" t="s">
        <v>138</v>
      </c>
      <c r="V14" s="0" t="s">
        <v>886</v>
      </c>
      <c r="W14" s="0" t="s">
        <v>859</v>
      </c>
      <c r="X14" s="0" t="s">
        <v>731</v>
      </c>
    </row>
    <row r="15" customFormat="false" ht="15" hidden="false" customHeight="false" outlineLevel="0" collapsed="false">
      <c r="A15" s="3" t="s">
        <v>60</v>
      </c>
      <c r="B15" s="3" t="s">
        <v>853</v>
      </c>
      <c r="C15" s="0" t="s">
        <v>871</v>
      </c>
      <c r="D15" s="0" t="n">
        <v>14</v>
      </c>
      <c r="E15" s="0" t="n">
        <v>97</v>
      </c>
      <c r="F15" s="0" t="n">
        <v>116</v>
      </c>
      <c r="G15" s="0" t="n">
        <v>15</v>
      </c>
      <c r="H15" s="0" t="s">
        <v>138</v>
      </c>
      <c r="I15" s="0" t="s">
        <v>138</v>
      </c>
      <c r="J15" s="0" t="s">
        <v>138</v>
      </c>
      <c r="K15" s="0" t="s">
        <v>138</v>
      </c>
      <c r="L15" s="0" t="n">
        <v>4</v>
      </c>
      <c r="M15" s="0" t="str">
        <f aca="false">IF($L15&gt;17,"ICU","GMF")</f>
        <v>GMF</v>
      </c>
      <c r="N15" s="0" t="s">
        <v>855</v>
      </c>
      <c r="Q15" s="0" t="s">
        <v>856</v>
      </c>
      <c r="S15" s="40" t="s">
        <v>138</v>
      </c>
      <c r="T15" s="40" t="s">
        <v>138</v>
      </c>
      <c r="U15" s="40"/>
      <c r="W15" s="0" t="s">
        <v>859</v>
      </c>
      <c r="X15" s="0" t="s">
        <v>731</v>
      </c>
    </row>
    <row r="16" customFormat="false" ht="36.5" hidden="false" customHeight="false" outlineLevel="0" collapsed="false">
      <c r="A16" s="3" t="s">
        <v>311</v>
      </c>
      <c r="B16" s="3" t="s">
        <v>866</v>
      </c>
      <c r="C16" s="0" t="s">
        <v>862</v>
      </c>
      <c r="D16" s="0" t="n">
        <v>14</v>
      </c>
      <c r="E16" s="0" t="n">
        <v>101</v>
      </c>
      <c r="F16" s="0" t="n">
        <v>107</v>
      </c>
      <c r="G16" s="0" t="n">
        <v>15</v>
      </c>
      <c r="H16" s="0" t="s">
        <v>138</v>
      </c>
      <c r="I16" s="0" t="s">
        <v>138</v>
      </c>
      <c r="J16" s="0" t="s">
        <v>731</v>
      </c>
      <c r="K16" s="0" t="s">
        <v>138</v>
      </c>
      <c r="L16" s="0" t="n">
        <v>11</v>
      </c>
      <c r="M16" s="0" t="str">
        <f aca="false">IF($L16&gt;17,"ICU","GMF")</f>
        <v>GMF</v>
      </c>
      <c r="N16" s="0" t="s">
        <v>872</v>
      </c>
      <c r="Q16" s="0" t="s">
        <v>856</v>
      </c>
      <c r="R16" s="34" t="s">
        <v>890</v>
      </c>
      <c r="S16" s="34" t="s">
        <v>138</v>
      </c>
      <c r="T16" s="34" t="s">
        <v>138</v>
      </c>
      <c r="U16" s="34" t="s">
        <v>138</v>
      </c>
      <c r="W16" s="0" t="s">
        <v>864</v>
      </c>
      <c r="X16" s="0" t="s">
        <v>731</v>
      </c>
    </row>
    <row r="17" customFormat="false" ht="15" hidden="false" customHeight="false" outlineLevel="0" collapsed="false">
      <c r="B17" s="0" t="s">
        <v>853</v>
      </c>
      <c r="C17" s="0" t="s">
        <v>862</v>
      </c>
      <c r="D17" s="0" t="n">
        <v>14</v>
      </c>
      <c r="E17" s="0" t="n">
        <v>106</v>
      </c>
      <c r="F17" s="0" t="n">
        <v>131</v>
      </c>
      <c r="G17" s="0" t="n">
        <v>15</v>
      </c>
      <c r="H17" s="0" t="s">
        <v>138</v>
      </c>
      <c r="I17" s="0" t="s">
        <v>138</v>
      </c>
      <c r="J17" s="0" t="s">
        <v>731</v>
      </c>
      <c r="K17" s="0" t="s">
        <v>138</v>
      </c>
      <c r="L17" s="0" t="n">
        <v>9</v>
      </c>
      <c r="M17" s="0" t="str">
        <f aca="false">IF($L17&gt;17,"ICU","GMF")</f>
        <v>GMF</v>
      </c>
      <c r="N17" s="0" t="s">
        <v>872</v>
      </c>
      <c r="Q17" s="0" t="s">
        <v>856</v>
      </c>
      <c r="R17" s="34" t="s">
        <v>891</v>
      </c>
      <c r="S17" s="34" t="s">
        <v>138</v>
      </c>
      <c r="T17" s="34" t="s">
        <v>138</v>
      </c>
      <c r="U17" s="34" t="s">
        <v>138</v>
      </c>
      <c r="V17" s="0" t="s">
        <v>886</v>
      </c>
      <c r="W17" s="0" t="s">
        <v>859</v>
      </c>
      <c r="X17" s="0" t="s">
        <v>731</v>
      </c>
      <c r="AA17" s="0" t="s">
        <v>892</v>
      </c>
      <c r="AB17" s="0" t="s">
        <v>893</v>
      </c>
      <c r="AD17" s="0" t="s">
        <v>894</v>
      </c>
      <c r="AF17" s="0" t="s">
        <v>895</v>
      </c>
    </row>
    <row r="18" customFormat="false" ht="15" hidden="false" customHeight="false" outlineLevel="0" collapsed="false">
      <c r="A18" s="3" t="s">
        <v>342</v>
      </c>
      <c r="B18" s="3" t="s">
        <v>866</v>
      </c>
      <c r="C18" s="0" t="s">
        <v>862</v>
      </c>
      <c r="D18" s="0" t="n">
        <v>15</v>
      </c>
      <c r="E18" s="0" t="n">
        <v>82</v>
      </c>
      <c r="F18" s="0" t="n">
        <v>118</v>
      </c>
      <c r="G18" s="0" t="n">
        <v>15</v>
      </c>
      <c r="H18" s="0" t="s">
        <v>138</v>
      </c>
      <c r="I18" s="0" t="s">
        <v>138</v>
      </c>
      <c r="J18" s="0" t="s">
        <v>138</v>
      </c>
      <c r="K18" s="0" t="s">
        <v>138</v>
      </c>
      <c r="L18" s="0" t="n">
        <v>3</v>
      </c>
      <c r="M18" s="0" t="str">
        <f aca="false">IF($L18&gt;17,"ICU","GMF")</f>
        <v>GMF</v>
      </c>
      <c r="N18" s="0" t="s">
        <v>855</v>
      </c>
      <c r="Q18" s="0" t="s">
        <v>856</v>
      </c>
      <c r="R18" s="34" t="s">
        <v>178</v>
      </c>
      <c r="S18" s="34" t="s">
        <v>138</v>
      </c>
      <c r="T18" s="34" t="s">
        <v>138</v>
      </c>
      <c r="U18" s="34" t="s">
        <v>138</v>
      </c>
      <c r="W18" s="46" t="s">
        <v>864</v>
      </c>
      <c r="X18" s="46" t="s">
        <v>731</v>
      </c>
      <c r="AA18" s="0" t="s">
        <v>872</v>
      </c>
      <c r="AB18" s="0" t="n">
        <f aca="false">COUNTIFS($D$2:$D$115,"&gt;="&amp;12,$Q$2:$Q$115,$AA18)</f>
        <v>20</v>
      </c>
      <c r="AC18" s="0" t="n">
        <f aca="false">ROUND(100*AB18/AB$21,0)</f>
        <v>19</v>
      </c>
      <c r="AD18" s="0" t="n">
        <f aca="false">COUNTIFS($D$2:$D$115,"&gt;="&amp;12,$Q2:$Q115,$AA18, $D$2:$D$115,"&lt;"&amp;18)</f>
        <v>4</v>
      </c>
      <c r="AE18" s="0" t="n">
        <f aca="false">ROUND(100*AD18/AD$21,0)</f>
        <v>17</v>
      </c>
      <c r="AF18" s="0" t="n">
        <f aca="false">COUNTIFS($D$2:$D$115,"&gt;="&amp; 18,$Q2:$Q115,$AA18)</f>
        <v>16</v>
      </c>
      <c r="AG18" s="0" t="n">
        <f aca="false">ROUND(100*AF18/AF$21,0)</f>
        <v>21</v>
      </c>
    </row>
    <row r="19" customFormat="false" ht="15" hidden="false" customHeight="false" outlineLevel="0" collapsed="false">
      <c r="A19" s="3" t="s">
        <v>350</v>
      </c>
      <c r="B19" s="3" t="s">
        <v>866</v>
      </c>
      <c r="C19" s="0" t="s">
        <v>854</v>
      </c>
      <c r="D19" s="0" t="n">
        <v>15</v>
      </c>
      <c r="E19" s="0" t="n">
        <v>97</v>
      </c>
      <c r="F19" s="0" t="n">
        <v>110</v>
      </c>
      <c r="G19" s="0" t="n">
        <v>15</v>
      </c>
      <c r="H19" s="0" t="s">
        <v>138</v>
      </c>
      <c r="I19" s="0" t="s">
        <v>138</v>
      </c>
      <c r="J19" s="0" t="s">
        <v>138</v>
      </c>
      <c r="K19" s="0" t="s">
        <v>138</v>
      </c>
      <c r="L19" s="0" t="n">
        <v>5</v>
      </c>
      <c r="M19" s="0" t="str">
        <f aca="false">IF($L19&gt;17,"ICU","GMF")</f>
        <v>GMF</v>
      </c>
      <c r="N19" s="0" t="s">
        <v>855</v>
      </c>
      <c r="Q19" s="0" t="s">
        <v>856</v>
      </c>
      <c r="R19" s="34" t="s">
        <v>896</v>
      </c>
      <c r="S19" s="34" t="s">
        <v>138</v>
      </c>
      <c r="T19" s="34" t="s">
        <v>138</v>
      </c>
      <c r="U19" s="34" t="s">
        <v>138</v>
      </c>
      <c r="W19" s="0" t="s">
        <v>864</v>
      </c>
      <c r="X19" s="0" t="s">
        <v>731</v>
      </c>
      <c r="AA19" s="0" t="s">
        <v>855</v>
      </c>
      <c r="AB19" s="0" t="n">
        <f aca="false">COUNTIFS($D$2:$D$115,"&gt;="&amp;12,$Q$2:$Q$115,$AA19)</f>
        <v>16</v>
      </c>
      <c r="AC19" s="0" t="n">
        <f aca="false">ROUND(100*AB19/AB$21,0)</f>
        <v>16</v>
      </c>
      <c r="AD19" s="0" t="n">
        <f aca="false">COUNTIFS($D$2:$D$115,"&gt;="&amp;12,$Q3:$Q116,$AA19, $D$2:$D$115,"&lt;"&amp;18)</f>
        <v>2</v>
      </c>
      <c r="AE19" s="0" t="n">
        <f aca="false">ROUND(100*AD19/AD$21,0)</f>
        <v>8</v>
      </c>
      <c r="AF19" s="0" t="n">
        <f aca="false">COUNTIFS($D$2:$D$115,"&gt;="&amp; 18,$Q3:$Q116,$AA19)</f>
        <v>14</v>
      </c>
      <c r="AG19" s="0" t="n">
        <f aca="false">ROUND(100*AF19/AF$21,0)</f>
        <v>18</v>
      </c>
    </row>
    <row r="20" customFormat="false" ht="25" hidden="false" customHeight="false" outlineLevel="0" collapsed="false">
      <c r="B20" s="0" t="s">
        <v>853</v>
      </c>
      <c r="C20" s="0" t="s">
        <v>854</v>
      </c>
      <c r="D20" s="0" t="n">
        <v>15</v>
      </c>
      <c r="E20" s="0" t="n">
        <v>79</v>
      </c>
      <c r="F20" s="0" t="n">
        <v>97</v>
      </c>
      <c r="G20" s="0" t="n">
        <v>15</v>
      </c>
      <c r="H20" s="0" t="s">
        <v>138</v>
      </c>
      <c r="I20" s="0" t="s">
        <v>138</v>
      </c>
      <c r="J20" s="0" t="s">
        <v>138</v>
      </c>
      <c r="K20" s="0" t="s">
        <v>138</v>
      </c>
      <c r="L20" s="0" t="n">
        <v>6</v>
      </c>
      <c r="M20" s="0" t="str">
        <f aca="false">IF($L20&gt;17,"ICU","GMF")</f>
        <v>GMF</v>
      </c>
      <c r="N20" s="0" t="s">
        <v>855</v>
      </c>
      <c r="Q20" s="0" t="s">
        <v>856</v>
      </c>
      <c r="R20" s="34" t="s">
        <v>897</v>
      </c>
      <c r="S20" s="40" t="s">
        <v>138</v>
      </c>
      <c r="T20" s="40" t="s">
        <v>138</v>
      </c>
      <c r="U20" s="40" t="s">
        <v>138</v>
      </c>
      <c r="V20" s="0" t="s">
        <v>886</v>
      </c>
      <c r="W20" s="0" t="s">
        <v>864</v>
      </c>
      <c r="X20" s="0" t="s">
        <v>731</v>
      </c>
      <c r="AA20" s="0" t="s">
        <v>856</v>
      </c>
      <c r="AB20" s="0" t="n">
        <f aca="false">COUNTIFS($D$2:$D$115,"&gt;="&amp;12,$Q$2:$Q$115,$AA20)</f>
        <v>67</v>
      </c>
      <c r="AC20" s="0" t="n">
        <f aca="false">ROUND(100*AB20/AB$21,0)</f>
        <v>65</v>
      </c>
      <c r="AD20" s="0" t="n">
        <f aca="false">COUNTIFS($D$2:$D$115,"&gt;="&amp;12,$Q4:$Q117,$AA20, $D$2:$D$115,"&lt;"&amp;18)</f>
        <v>18</v>
      </c>
      <c r="AE20" s="0" t="n">
        <f aca="false">ROUND(100*AD20/AD$21,0)</f>
        <v>75</v>
      </c>
      <c r="AF20" s="0" t="n">
        <f aca="false">COUNTIFS($D$2:$D$115,"&gt;="&amp; 18,$Q4:$Q117,$AA20)</f>
        <v>47</v>
      </c>
      <c r="AG20" s="0" t="n">
        <f aca="false">ROUND(100*AF20/AF$21,0)</f>
        <v>61</v>
      </c>
    </row>
    <row r="21" customFormat="false" ht="15" hidden="false" customHeight="false" outlineLevel="0" collapsed="false">
      <c r="A21" s="3" t="s">
        <v>384</v>
      </c>
      <c r="B21" s="3" t="s">
        <v>866</v>
      </c>
      <c r="C21" s="0" t="s">
        <v>854</v>
      </c>
      <c r="D21" s="0" t="n">
        <v>16</v>
      </c>
      <c r="E21" s="0" t="n">
        <v>73</v>
      </c>
      <c r="F21" s="0" t="n">
        <v>89</v>
      </c>
      <c r="G21" s="0" t="n">
        <v>14</v>
      </c>
      <c r="H21" s="0" t="s">
        <v>138</v>
      </c>
      <c r="I21" s="0" t="s">
        <v>138</v>
      </c>
      <c r="J21" s="0" t="s">
        <v>138</v>
      </c>
      <c r="K21" s="0" t="s">
        <v>138</v>
      </c>
      <c r="L21" s="0" t="n">
        <v>5</v>
      </c>
      <c r="M21" s="0" t="str">
        <f aca="false">IF($L21&gt;17,"ICU","GMF")</f>
        <v>GMF</v>
      </c>
      <c r="N21" s="0" t="s">
        <v>855</v>
      </c>
      <c r="Q21" s="0" t="s">
        <v>856</v>
      </c>
      <c r="R21" s="34" t="s">
        <v>896</v>
      </c>
      <c r="S21" s="34" t="s">
        <v>138</v>
      </c>
      <c r="T21" s="34" t="s">
        <v>138</v>
      </c>
      <c r="U21" s="34" t="s">
        <v>138</v>
      </c>
      <c r="W21" s="0" t="s">
        <v>864</v>
      </c>
      <c r="X21" s="0" t="s">
        <v>731</v>
      </c>
      <c r="AB21" s="0" t="n">
        <f aca="false">SUM(AB$18:AB$20)</f>
        <v>103</v>
      </c>
      <c r="AD21" s="0" t="n">
        <f aca="false">SUM(AD$18:AD$20)</f>
        <v>24</v>
      </c>
      <c r="AF21" s="0" t="n">
        <f aca="false">SUM(AF$18:AF$20)</f>
        <v>77</v>
      </c>
    </row>
    <row r="22" customFormat="false" ht="15" hidden="false" customHeight="false" outlineLevel="0" collapsed="false">
      <c r="B22" s="0" t="s">
        <v>853</v>
      </c>
      <c r="C22" s="0" t="s">
        <v>879</v>
      </c>
      <c r="D22" s="0" t="n">
        <v>16</v>
      </c>
      <c r="E22" s="0" t="n">
        <v>94</v>
      </c>
      <c r="F22" s="0" t="n">
        <v>119</v>
      </c>
      <c r="G22" s="0" t="n">
        <v>15</v>
      </c>
      <c r="H22" s="0" t="s">
        <v>138</v>
      </c>
      <c r="I22" s="0" t="s">
        <v>138</v>
      </c>
      <c r="J22" s="0" t="s">
        <v>138</v>
      </c>
      <c r="K22" s="0" t="s">
        <v>138</v>
      </c>
      <c r="L22" s="0" t="n">
        <v>5</v>
      </c>
      <c r="M22" s="0" t="str">
        <f aca="false">IF($L22&gt;17,"ICU","GMF")</f>
        <v>GMF</v>
      </c>
      <c r="N22" s="0" t="s">
        <v>855</v>
      </c>
      <c r="Q22" s="0" t="s">
        <v>856</v>
      </c>
      <c r="R22" s="34" t="s">
        <v>898</v>
      </c>
      <c r="S22" s="40" t="s">
        <v>138</v>
      </c>
      <c r="T22" s="40" t="s">
        <v>138</v>
      </c>
      <c r="U22" s="40" t="s">
        <v>138</v>
      </c>
      <c r="W22" s="0" t="s">
        <v>864</v>
      </c>
      <c r="X22" s="0" t="s">
        <v>731</v>
      </c>
    </row>
    <row r="23" customFormat="false" ht="25" hidden="false" customHeight="false" outlineLevel="0" collapsed="false">
      <c r="A23" s="3" t="s">
        <v>289</v>
      </c>
      <c r="B23" s="3" t="s">
        <v>853</v>
      </c>
      <c r="C23" s="0" t="s">
        <v>854</v>
      </c>
      <c r="D23" s="0" t="n">
        <v>16</v>
      </c>
      <c r="E23" s="0" t="n">
        <v>115</v>
      </c>
      <c r="F23" s="0" t="n">
        <v>105</v>
      </c>
      <c r="G23" s="0" t="n">
        <v>15</v>
      </c>
      <c r="H23" s="0" t="s">
        <v>138</v>
      </c>
      <c r="I23" s="0" t="s">
        <v>138</v>
      </c>
      <c r="J23" s="0" t="s">
        <v>731</v>
      </c>
      <c r="K23" s="0" t="s">
        <v>138</v>
      </c>
      <c r="L23" s="0" t="n">
        <v>12</v>
      </c>
      <c r="M23" s="0" t="str">
        <f aca="false">IF($L23&gt;17,"ICU","GMF")</f>
        <v>GMF</v>
      </c>
      <c r="N23" s="0" t="s">
        <v>872</v>
      </c>
      <c r="Q23" s="0" t="s">
        <v>856</v>
      </c>
      <c r="R23" s="34" t="s">
        <v>899</v>
      </c>
      <c r="S23" s="34" t="s">
        <v>138</v>
      </c>
      <c r="T23" s="34" t="s">
        <v>138</v>
      </c>
      <c r="U23" s="34" t="s">
        <v>138</v>
      </c>
      <c r="V23" s="34" t="s">
        <v>874</v>
      </c>
      <c r="W23" s="0" t="s">
        <v>864</v>
      </c>
      <c r="X23" s="0" t="s">
        <v>731</v>
      </c>
      <c r="AA23" s="0" t="s">
        <v>900</v>
      </c>
      <c r="AB23" s="0" t="n">
        <f aca="false">COUNTIF($D$2:$D$155,"&gt;="&amp;12)</f>
        <v>103</v>
      </c>
    </row>
    <row r="24" customFormat="false" ht="15" hidden="false" customHeight="false" outlineLevel="0" collapsed="false">
      <c r="B24" s="0" t="s">
        <v>866</v>
      </c>
      <c r="C24" s="0" t="s">
        <v>871</v>
      </c>
      <c r="D24" s="0" t="n">
        <v>16</v>
      </c>
      <c r="E24" s="0" t="n">
        <v>120</v>
      </c>
      <c r="F24" s="0" t="n">
        <v>119</v>
      </c>
      <c r="G24" s="0" t="n">
        <v>15</v>
      </c>
      <c r="H24" s="0" t="s">
        <v>138</v>
      </c>
      <c r="I24" s="0" t="s">
        <v>138</v>
      </c>
      <c r="J24" s="0" t="s">
        <v>731</v>
      </c>
      <c r="K24" s="0" t="s">
        <v>138</v>
      </c>
      <c r="L24" s="0" t="n">
        <v>10</v>
      </c>
      <c r="M24" s="0" t="str">
        <f aca="false">IF($L24&gt;17,"ICU","GMF")</f>
        <v>GMF</v>
      </c>
      <c r="N24" s="0" t="s">
        <v>872</v>
      </c>
      <c r="Q24" s="0" t="s">
        <v>856</v>
      </c>
      <c r="R24" s="34" t="s">
        <v>901</v>
      </c>
      <c r="S24" s="34" t="s">
        <v>138</v>
      </c>
      <c r="T24" s="34" t="s">
        <v>138</v>
      </c>
      <c r="U24" s="34" t="s">
        <v>138</v>
      </c>
      <c r="W24" s="0" t="s">
        <v>864</v>
      </c>
      <c r="X24" s="0" t="s">
        <v>731</v>
      </c>
    </row>
    <row r="25" customFormat="false" ht="15" hidden="false" customHeight="false" outlineLevel="0" collapsed="false">
      <c r="A25" s="3" t="s">
        <v>357</v>
      </c>
      <c r="B25" s="3" t="s">
        <v>853</v>
      </c>
      <c r="C25" s="0" t="s">
        <v>871</v>
      </c>
      <c r="D25" s="0" t="n">
        <v>17</v>
      </c>
      <c r="E25" s="0" t="n">
        <v>134</v>
      </c>
      <c r="F25" s="0" t="n">
        <v>101</v>
      </c>
      <c r="G25" s="0" t="n">
        <v>15</v>
      </c>
      <c r="H25" s="0" t="s">
        <v>138</v>
      </c>
      <c r="I25" s="0" t="s">
        <v>138</v>
      </c>
      <c r="J25" s="0" t="s">
        <v>731</v>
      </c>
      <c r="K25" s="0" t="s">
        <v>138</v>
      </c>
      <c r="L25" s="0" t="n">
        <v>11</v>
      </c>
      <c r="M25" s="0" t="str">
        <f aca="false">IF($L25&gt;17,"ICU","GMF")</f>
        <v>GMF</v>
      </c>
      <c r="N25" s="0" t="s">
        <v>872</v>
      </c>
      <c r="Q25" s="0" t="s">
        <v>856</v>
      </c>
      <c r="R25" s="34" t="s">
        <v>356</v>
      </c>
      <c r="S25" s="34" t="s">
        <v>138</v>
      </c>
      <c r="T25" s="34" t="s">
        <v>138</v>
      </c>
      <c r="U25" s="34" t="s">
        <v>138</v>
      </c>
      <c r="V25" s="0" t="s">
        <v>886</v>
      </c>
      <c r="W25" s="0" t="s">
        <v>864</v>
      </c>
      <c r="X25" s="0" t="s">
        <v>731</v>
      </c>
    </row>
    <row r="26" customFormat="false" ht="15" hidden="false" customHeight="false" outlineLevel="0" collapsed="false">
      <c r="A26" s="3" t="s">
        <v>365</v>
      </c>
      <c r="B26" s="3" t="s">
        <v>853</v>
      </c>
      <c r="C26" s="0" t="s">
        <v>871</v>
      </c>
      <c r="D26" s="0" t="n">
        <v>17</v>
      </c>
      <c r="E26" s="0" t="n">
        <v>109</v>
      </c>
      <c r="F26" s="0" t="n">
        <v>127</v>
      </c>
      <c r="G26" s="0" t="n">
        <v>15</v>
      </c>
      <c r="H26" s="0" t="s">
        <v>138</v>
      </c>
      <c r="I26" s="0" t="s">
        <v>138</v>
      </c>
      <c r="J26" s="0" t="s">
        <v>731</v>
      </c>
      <c r="K26" s="0" t="s">
        <v>138</v>
      </c>
      <c r="L26" s="0" t="n">
        <v>9</v>
      </c>
      <c r="M26" s="0" t="str">
        <f aca="false">IF($L26&gt;17,"ICU","GMF")</f>
        <v>GMF</v>
      </c>
      <c r="N26" s="0" t="s">
        <v>872</v>
      </c>
      <c r="Q26" s="0" t="s">
        <v>856</v>
      </c>
      <c r="R26" s="34" t="s">
        <v>902</v>
      </c>
      <c r="S26" s="34" t="s">
        <v>138</v>
      </c>
      <c r="T26" s="34" t="s">
        <v>138</v>
      </c>
      <c r="U26" s="34" t="s">
        <v>138</v>
      </c>
      <c r="V26" s="0" t="s">
        <v>886</v>
      </c>
      <c r="W26" s="46" t="s">
        <v>859</v>
      </c>
      <c r="X26" s="0" t="s">
        <v>731</v>
      </c>
    </row>
    <row r="27" customFormat="false" ht="15" hidden="false" customHeight="false" outlineLevel="0" collapsed="false">
      <c r="B27" s="0" t="s">
        <v>866</v>
      </c>
      <c r="C27" s="0" t="s">
        <v>879</v>
      </c>
      <c r="D27" s="0" t="n">
        <v>17</v>
      </c>
      <c r="E27" s="0" t="n">
        <v>115</v>
      </c>
      <c r="F27" s="0" t="n">
        <v>99</v>
      </c>
      <c r="G27" s="0" t="n">
        <v>15</v>
      </c>
      <c r="H27" s="0" t="s">
        <v>138</v>
      </c>
      <c r="I27" s="0" t="s">
        <v>138</v>
      </c>
      <c r="J27" s="0" t="s">
        <v>731</v>
      </c>
      <c r="K27" s="0" t="s">
        <v>138</v>
      </c>
      <c r="L27" s="0" t="n">
        <v>15</v>
      </c>
      <c r="M27" s="0" t="str">
        <f aca="false">IF($L27&gt;17,"ICU","GMF")</f>
        <v>GMF</v>
      </c>
      <c r="N27" s="0" t="s">
        <v>872</v>
      </c>
      <c r="Q27" s="0" t="s">
        <v>856</v>
      </c>
      <c r="R27" s="34" t="s">
        <v>903</v>
      </c>
      <c r="S27" s="40" t="s">
        <v>138</v>
      </c>
      <c r="T27" s="40" t="s">
        <v>138</v>
      </c>
      <c r="U27" s="40" t="s">
        <v>138</v>
      </c>
      <c r="W27" s="46" t="s">
        <v>859</v>
      </c>
      <c r="X27" s="46" t="s">
        <v>731</v>
      </c>
      <c r="Y27" s="0" t="s">
        <v>904</v>
      </c>
    </row>
    <row r="28" customFormat="false" ht="15" hidden="false" customHeight="false" outlineLevel="0" collapsed="false">
      <c r="A28" s="3" t="s">
        <v>346</v>
      </c>
      <c r="B28" s="3" t="s">
        <v>853</v>
      </c>
      <c r="C28" s="0" t="s">
        <v>862</v>
      </c>
      <c r="D28" s="0" t="n">
        <v>18</v>
      </c>
      <c r="E28" s="0" t="n">
        <v>87</v>
      </c>
      <c r="F28" s="0" t="n">
        <v>125</v>
      </c>
      <c r="G28" s="0" t="n">
        <v>15</v>
      </c>
      <c r="H28" s="0" t="s">
        <v>138</v>
      </c>
      <c r="I28" s="0" t="s">
        <v>138</v>
      </c>
      <c r="J28" s="0" t="s">
        <v>138</v>
      </c>
      <c r="K28" s="0" t="s">
        <v>138</v>
      </c>
      <c r="L28" s="0" t="n">
        <v>3</v>
      </c>
      <c r="M28" s="0" t="str">
        <f aca="false">IF($L28&gt;17,"ICU","GMF")</f>
        <v>GMF</v>
      </c>
      <c r="N28" s="0" t="s">
        <v>855</v>
      </c>
      <c r="Q28" s="0" t="s">
        <v>856</v>
      </c>
      <c r="R28" s="34" t="s">
        <v>345</v>
      </c>
      <c r="S28" s="34" t="s">
        <v>138</v>
      </c>
      <c r="T28" s="34" t="s">
        <v>138</v>
      </c>
      <c r="U28" s="34" t="s">
        <v>138</v>
      </c>
      <c r="V28" s="0" t="s">
        <v>886</v>
      </c>
      <c r="W28" s="0" t="s">
        <v>864</v>
      </c>
      <c r="X28" s="0" t="s">
        <v>731</v>
      </c>
      <c r="AB28" s="47" t="s">
        <v>905</v>
      </c>
      <c r="AC28" s="47"/>
    </row>
    <row r="29" customFormat="false" ht="15" hidden="false" customHeight="false" outlineLevel="0" collapsed="false">
      <c r="B29" s="0" t="s">
        <v>853</v>
      </c>
      <c r="C29" s="0" t="s">
        <v>875</v>
      </c>
      <c r="D29" s="0" t="n">
        <v>18</v>
      </c>
      <c r="E29" s="0" t="n">
        <v>74</v>
      </c>
      <c r="F29" s="0" t="n">
        <v>115</v>
      </c>
      <c r="G29" s="0" t="n">
        <v>15</v>
      </c>
      <c r="H29" s="0" t="s">
        <v>731</v>
      </c>
      <c r="I29" s="0" t="s">
        <v>138</v>
      </c>
      <c r="J29" s="0" t="s">
        <v>138</v>
      </c>
      <c r="K29" s="0" t="s">
        <v>138</v>
      </c>
      <c r="L29" s="0" t="n">
        <v>3</v>
      </c>
      <c r="M29" s="0" t="str">
        <f aca="false">IF($L29&gt;17,"ICU","GMF")</f>
        <v>GMF</v>
      </c>
      <c r="N29" s="0" t="s">
        <v>855</v>
      </c>
      <c r="Q29" s="0" t="s">
        <v>856</v>
      </c>
      <c r="R29" s="34" t="s">
        <v>876</v>
      </c>
      <c r="S29" s="40" t="s">
        <v>138</v>
      </c>
      <c r="T29" s="40" t="s">
        <v>138</v>
      </c>
      <c r="U29" s="40" t="s">
        <v>906</v>
      </c>
      <c r="V29" s="0" t="s">
        <v>907</v>
      </c>
      <c r="W29" s="0" t="s">
        <v>864</v>
      </c>
      <c r="X29" s="0" t="s">
        <v>908</v>
      </c>
      <c r="AB29" s="0" t="s">
        <v>872</v>
      </c>
      <c r="AC29" s="0" t="s">
        <v>909</v>
      </c>
    </row>
    <row r="30" customFormat="false" ht="25" hidden="false" customHeight="true" outlineLevel="0" collapsed="false">
      <c r="A30" s="3" t="s">
        <v>264</v>
      </c>
      <c r="B30" s="3" t="s">
        <v>866</v>
      </c>
      <c r="C30" s="0" t="s">
        <v>854</v>
      </c>
      <c r="D30" s="0" t="n">
        <v>18</v>
      </c>
      <c r="E30" s="0" t="n">
        <v>55</v>
      </c>
      <c r="F30" s="0" t="n">
        <v>118</v>
      </c>
      <c r="G30" s="0" t="n">
        <v>15</v>
      </c>
      <c r="H30" s="0" t="s">
        <v>138</v>
      </c>
      <c r="I30" s="0" t="s">
        <v>138</v>
      </c>
      <c r="J30" s="0" t="s">
        <v>731</v>
      </c>
      <c r="K30" s="0" t="s">
        <v>138</v>
      </c>
      <c r="L30" s="0" t="n">
        <v>7</v>
      </c>
      <c r="M30" s="0" t="str">
        <f aca="false">IF($L30&gt;17,"ICU","GMF")</f>
        <v>GMF</v>
      </c>
      <c r="N30" s="0" t="s">
        <v>872</v>
      </c>
      <c r="Q30" s="0" t="s">
        <v>856</v>
      </c>
      <c r="S30" s="34" t="s">
        <v>138</v>
      </c>
      <c r="T30" s="34" t="s">
        <v>138</v>
      </c>
      <c r="U30" s="34" t="s">
        <v>138</v>
      </c>
      <c r="V30" s="34" t="s">
        <v>874</v>
      </c>
      <c r="W30" s="0" t="s">
        <v>870</v>
      </c>
      <c r="X30" s="0" t="s">
        <v>138</v>
      </c>
      <c r="Y30" s="34" t="s">
        <v>910</v>
      </c>
      <c r="Z30" s="48" t="s">
        <v>911</v>
      </c>
      <c r="AA30" s="0" t="s">
        <v>872</v>
      </c>
      <c r="AB30" s="0" t="n">
        <f aca="false">COUNTIFS($Q$2:$Q$120,"ICU",$N$2:$N$120,"ICU",$D$2:$D$120,"&gt;"&amp;11)</f>
        <v>13</v>
      </c>
      <c r="AC30" s="0" t="n">
        <f aca="false">COUNTIFS($Q$2:$Q$120,"&lt;&gt;ICU",$N$2:$N$120,"ICU",$D$2:$D$120,"&gt;"&amp;11)</f>
        <v>48</v>
      </c>
    </row>
    <row r="31" customFormat="false" ht="15" hidden="false" customHeight="false" outlineLevel="0" collapsed="false">
      <c r="A31" s="3" t="s">
        <v>299</v>
      </c>
      <c r="B31" s="3" t="s">
        <v>853</v>
      </c>
      <c r="C31" s="0" t="s">
        <v>871</v>
      </c>
      <c r="D31" s="0" t="n">
        <v>19</v>
      </c>
      <c r="E31" s="0" t="n">
        <v>90</v>
      </c>
      <c r="F31" s="0" t="n">
        <v>125</v>
      </c>
      <c r="G31" s="0" t="n">
        <v>15</v>
      </c>
      <c r="H31" s="0" t="s">
        <v>138</v>
      </c>
      <c r="I31" s="0" t="s">
        <v>138</v>
      </c>
      <c r="J31" s="0" t="s">
        <v>138</v>
      </c>
      <c r="K31" s="0" t="s">
        <v>138</v>
      </c>
      <c r="L31" s="0" t="n">
        <v>2</v>
      </c>
      <c r="M31" s="0" t="str">
        <f aca="false">IF($L31&gt;17,"ICU","GMF")</f>
        <v>GMF</v>
      </c>
      <c r="N31" s="0" t="s">
        <v>855</v>
      </c>
      <c r="Q31" s="0" t="s">
        <v>856</v>
      </c>
      <c r="S31" s="34" t="s">
        <v>138</v>
      </c>
      <c r="T31" s="34" t="s">
        <v>138</v>
      </c>
      <c r="U31" s="34" t="s">
        <v>138</v>
      </c>
      <c r="W31" s="0" t="s">
        <v>870</v>
      </c>
      <c r="X31" s="0" t="s">
        <v>731</v>
      </c>
      <c r="Z31" s="48"/>
      <c r="AA31" s="0" t="s">
        <v>909</v>
      </c>
      <c r="AB31" s="0" t="n">
        <f aca="false">COUNTIFS($Q$2:$Q$120,"ICU",$N$2:$N$120,"&lt;&gt;ICU",$D$2:$D$120,"&gt;"&amp;11)</f>
        <v>7</v>
      </c>
      <c r="AC31" s="0" t="n">
        <f aca="false">COUNTIFS($Q$2:$Q$120,"&lt;&gt;ICU",$N$2:$N$120,"&lt;&gt;ICU",$D$2:$D$120,"&gt;"&amp;11)</f>
        <v>35</v>
      </c>
    </row>
    <row r="32" customFormat="false" ht="15" hidden="false" customHeight="false" outlineLevel="0" collapsed="false">
      <c r="A32" s="3" t="s">
        <v>318</v>
      </c>
      <c r="B32" s="3" t="s">
        <v>853</v>
      </c>
      <c r="C32" s="0" t="s">
        <v>865</v>
      </c>
      <c r="D32" s="0" t="n">
        <v>20</v>
      </c>
      <c r="E32" s="0" t="n">
        <v>110</v>
      </c>
      <c r="F32" s="0" t="n">
        <v>128</v>
      </c>
      <c r="G32" s="0" t="n">
        <v>15</v>
      </c>
      <c r="H32" s="0" t="s">
        <v>138</v>
      </c>
      <c r="I32" s="0" t="s">
        <v>138</v>
      </c>
      <c r="J32" s="0" t="s">
        <v>731</v>
      </c>
      <c r="K32" s="0" t="s">
        <v>138</v>
      </c>
      <c r="L32" s="0" t="n">
        <v>4</v>
      </c>
      <c r="M32" s="0" t="str">
        <f aca="false">IF($L32&gt;17,"ICU","GMF")</f>
        <v>GMF</v>
      </c>
      <c r="N32" s="0" t="s">
        <v>855</v>
      </c>
      <c r="Q32" s="0" t="s">
        <v>856</v>
      </c>
      <c r="S32" s="34" t="s">
        <v>138</v>
      </c>
      <c r="T32" s="34" t="s">
        <v>138</v>
      </c>
      <c r="U32" s="34" t="s">
        <v>138</v>
      </c>
      <c r="W32" s="0" t="s">
        <v>859</v>
      </c>
      <c r="X32" s="0" t="s">
        <v>731</v>
      </c>
      <c r="AB32" s="0" t="s">
        <v>912</v>
      </c>
      <c r="AC32" s="0" t="n">
        <f aca="false">SUM(AB30:AC31)</f>
        <v>103</v>
      </c>
      <c r="AE32" s="0" t="s">
        <v>913</v>
      </c>
    </row>
    <row r="33" customFormat="false" ht="15" hidden="false" customHeight="false" outlineLevel="0" collapsed="false">
      <c r="A33" s="3" t="s">
        <v>377</v>
      </c>
      <c r="B33" s="3" t="s">
        <v>853</v>
      </c>
      <c r="C33" s="0" t="s">
        <v>862</v>
      </c>
      <c r="D33" s="0" t="n">
        <v>20</v>
      </c>
      <c r="E33" s="0" t="n">
        <v>88</v>
      </c>
      <c r="F33" s="0" t="n">
        <v>128</v>
      </c>
      <c r="G33" s="0" t="n">
        <v>15</v>
      </c>
      <c r="H33" s="0" t="s">
        <v>138</v>
      </c>
      <c r="I33" s="0" t="s">
        <v>138</v>
      </c>
      <c r="J33" s="0" t="s">
        <v>138</v>
      </c>
      <c r="K33" s="0" t="s">
        <v>138</v>
      </c>
      <c r="L33" s="0" t="n">
        <v>3</v>
      </c>
      <c r="M33" s="0" t="str">
        <f aca="false">IF($L33&gt;17,"ICU","GMF")</f>
        <v>GMF</v>
      </c>
      <c r="N33" s="0" t="s">
        <v>855</v>
      </c>
      <c r="Q33" s="0" t="s">
        <v>856</v>
      </c>
      <c r="R33" s="34" t="s">
        <v>178</v>
      </c>
      <c r="S33" s="34" t="s">
        <v>138</v>
      </c>
      <c r="T33" s="34" t="s">
        <v>138</v>
      </c>
      <c r="U33" s="34" t="s">
        <v>138</v>
      </c>
      <c r="V33" s="0" t="s">
        <v>886</v>
      </c>
      <c r="W33" s="0" t="s">
        <v>864</v>
      </c>
      <c r="X33" s="0" t="s">
        <v>731</v>
      </c>
    </row>
    <row r="34" customFormat="false" ht="15" hidden="false" customHeight="false" outlineLevel="0" collapsed="false">
      <c r="A34" s="3" t="s">
        <v>729</v>
      </c>
      <c r="B34" s="3" t="s">
        <v>853</v>
      </c>
      <c r="C34" s="0" t="s">
        <v>854</v>
      </c>
      <c r="D34" s="0" t="n">
        <v>20</v>
      </c>
      <c r="E34" s="0" t="n">
        <v>71</v>
      </c>
      <c r="F34" s="0" t="n">
        <v>99</v>
      </c>
      <c r="G34" s="0" t="n">
        <v>15</v>
      </c>
      <c r="H34" s="0" t="s">
        <v>138</v>
      </c>
      <c r="I34" s="0" t="s">
        <v>138</v>
      </c>
      <c r="J34" s="0" t="s">
        <v>138</v>
      </c>
      <c r="K34" s="0" t="s">
        <v>138</v>
      </c>
      <c r="L34" s="0" t="n">
        <v>5</v>
      </c>
      <c r="M34" s="0" t="str">
        <f aca="false">IF($L34&gt;17,"ICU","GMF")</f>
        <v>GMF</v>
      </c>
      <c r="N34" s="0" t="s">
        <v>855</v>
      </c>
      <c r="Q34" s="0" t="s">
        <v>856</v>
      </c>
      <c r="R34" s="34" t="s">
        <v>728</v>
      </c>
      <c r="S34" s="34" t="s">
        <v>138</v>
      </c>
      <c r="T34" s="34" t="s">
        <v>138</v>
      </c>
      <c r="U34" s="34" t="s">
        <v>138</v>
      </c>
      <c r="W34" s="46" t="s">
        <v>864</v>
      </c>
      <c r="X34" s="46" t="s">
        <v>731</v>
      </c>
    </row>
    <row r="35" customFormat="false" ht="15" hidden="false" customHeight="false" outlineLevel="0" collapsed="false">
      <c r="B35" s="0" t="s">
        <v>853</v>
      </c>
      <c r="C35" s="0" t="s">
        <v>862</v>
      </c>
      <c r="D35" s="0" t="n">
        <v>20</v>
      </c>
      <c r="E35" s="0" t="n">
        <v>74</v>
      </c>
      <c r="F35" s="0" t="n">
        <v>114</v>
      </c>
      <c r="G35" s="0" t="n">
        <v>15</v>
      </c>
      <c r="H35" s="0" t="s">
        <v>138</v>
      </c>
      <c r="I35" s="0" t="s">
        <v>138</v>
      </c>
      <c r="J35" s="0" t="s">
        <v>138</v>
      </c>
      <c r="K35" s="0" t="s">
        <v>138</v>
      </c>
      <c r="L35" s="0" t="n">
        <v>2</v>
      </c>
      <c r="M35" s="0" t="str">
        <f aca="false">IF($L35&gt;17,"ICU","GMF")</f>
        <v>GMF</v>
      </c>
      <c r="N35" s="0" t="s">
        <v>855</v>
      </c>
      <c r="Q35" s="0" t="s">
        <v>856</v>
      </c>
      <c r="R35" s="34" t="s">
        <v>914</v>
      </c>
      <c r="S35" s="34" t="s">
        <v>138</v>
      </c>
      <c r="T35" s="34" t="s">
        <v>138</v>
      </c>
      <c r="U35" s="34" t="s">
        <v>138</v>
      </c>
      <c r="V35" s="0" t="s">
        <v>886</v>
      </c>
      <c r="W35" s="46" t="s">
        <v>864</v>
      </c>
      <c r="X35" s="46" t="s">
        <v>731</v>
      </c>
      <c r="AF35" s="47" t="s">
        <v>915</v>
      </c>
      <c r="AG35" s="47"/>
      <c r="AH35" s="47"/>
      <c r="AI35" s="47"/>
      <c r="AJ35" s="47"/>
      <c r="AM35" s="47" t="s">
        <v>916</v>
      </c>
      <c r="AN35" s="47"/>
      <c r="AO35" s="47"/>
      <c r="AP35" s="47"/>
      <c r="AQ35" s="47"/>
      <c r="AR35" s="47"/>
    </row>
    <row r="36" customFormat="false" ht="15" hidden="false" customHeight="false" outlineLevel="0" collapsed="false">
      <c r="A36" s="3" t="s">
        <v>92</v>
      </c>
      <c r="B36" s="3" t="s">
        <v>866</v>
      </c>
      <c r="C36" s="0" t="s">
        <v>865</v>
      </c>
      <c r="D36" s="0" t="n">
        <v>21</v>
      </c>
      <c r="E36" s="0" t="n">
        <v>68</v>
      </c>
      <c r="F36" s="0" t="n">
        <v>126</v>
      </c>
      <c r="G36" s="0" t="n">
        <v>15</v>
      </c>
      <c r="H36" s="0" t="s">
        <v>138</v>
      </c>
      <c r="I36" s="0" t="s">
        <v>138</v>
      </c>
      <c r="J36" s="0" t="s">
        <v>138</v>
      </c>
      <c r="K36" s="0" t="s">
        <v>138</v>
      </c>
      <c r="L36" s="0" t="n">
        <v>-5</v>
      </c>
      <c r="M36" s="0" t="str">
        <f aca="false">IF($L36&gt;17,"ICU","GMF")</f>
        <v>GMF</v>
      </c>
      <c r="N36" s="0" t="s">
        <v>855</v>
      </c>
      <c r="Q36" s="0" t="s">
        <v>856</v>
      </c>
      <c r="S36" s="40" t="s">
        <v>138</v>
      </c>
      <c r="T36" s="40" t="s">
        <v>138</v>
      </c>
      <c r="W36" s="46" t="s">
        <v>859</v>
      </c>
      <c r="X36" s="46" t="s">
        <v>731</v>
      </c>
      <c r="AB36" s="47" t="s">
        <v>905</v>
      </c>
      <c r="AC36" s="47"/>
      <c r="AI36" s="47" t="s">
        <v>905</v>
      </c>
      <c r="AJ36" s="47"/>
      <c r="AQ36" s="47" t="s">
        <v>905</v>
      </c>
      <c r="AR36" s="47"/>
    </row>
    <row r="37" customFormat="false" ht="15" hidden="false" customHeight="false" outlineLevel="0" collapsed="false">
      <c r="B37" s="0" t="s">
        <v>853</v>
      </c>
      <c r="C37" s="0" t="s">
        <v>867</v>
      </c>
      <c r="D37" s="0" t="n">
        <v>22</v>
      </c>
      <c r="E37" s="0" t="n">
        <v>83</v>
      </c>
      <c r="F37" s="0" t="n">
        <v>110</v>
      </c>
      <c r="G37" s="0" t="n">
        <v>15</v>
      </c>
      <c r="H37" s="0" t="s">
        <v>138</v>
      </c>
      <c r="I37" s="0" t="s">
        <v>138</v>
      </c>
      <c r="J37" s="0" t="s">
        <v>138</v>
      </c>
      <c r="K37" s="0" t="s">
        <v>138</v>
      </c>
      <c r="L37" s="0" t="n">
        <v>1</v>
      </c>
      <c r="M37" s="0" t="str">
        <f aca="false">IF($L37&gt;17,"ICU","GMF")</f>
        <v>GMF</v>
      </c>
      <c r="N37" s="0" t="s">
        <v>855</v>
      </c>
      <c r="Q37" s="0" t="s">
        <v>856</v>
      </c>
      <c r="R37" s="34" t="s">
        <v>917</v>
      </c>
      <c r="S37" s="40" t="s">
        <v>138</v>
      </c>
      <c r="T37" s="40" t="s">
        <v>138</v>
      </c>
      <c r="U37" s="40" t="s">
        <v>138</v>
      </c>
      <c r="V37" s="0" t="s">
        <v>886</v>
      </c>
      <c r="W37" s="0" t="s">
        <v>870</v>
      </c>
      <c r="X37" s="0" t="s">
        <v>138</v>
      </c>
      <c r="AB37" s="0" t="s">
        <v>872</v>
      </c>
      <c r="AC37" s="0" t="s">
        <v>909</v>
      </c>
      <c r="AI37" s="0" t="s">
        <v>872</v>
      </c>
      <c r="AJ37" s="0" t="s">
        <v>909</v>
      </c>
      <c r="AQ37" s="0" t="s">
        <v>872</v>
      </c>
      <c r="AR37" s="0" t="s">
        <v>909</v>
      </c>
    </row>
    <row r="38" customFormat="false" ht="36.5" hidden="false" customHeight="true" outlineLevel="0" collapsed="false">
      <c r="B38" s="0" t="s">
        <v>866</v>
      </c>
      <c r="C38" s="0" t="s">
        <v>862</v>
      </c>
      <c r="D38" s="0" t="n">
        <v>24</v>
      </c>
      <c r="E38" s="0" t="n">
        <v>73</v>
      </c>
      <c r="F38" s="0" t="n">
        <v>131</v>
      </c>
      <c r="G38" s="0" t="n">
        <v>15</v>
      </c>
      <c r="H38" s="0" t="s">
        <v>138</v>
      </c>
      <c r="I38" s="0" t="s">
        <v>138</v>
      </c>
      <c r="J38" s="0" t="s">
        <v>138</v>
      </c>
      <c r="K38" s="0" t="s">
        <v>138</v>
      </c>
      <c r="L38" s="0" t="n">
        <v>0</v>
      </c>
      <c r="M38" s="0" t="str">
        <f aca="false">IF($L38&gt;17,"ICU","GMF")</f>
        <v>GMF</v>
      </c>
      <c r="N38" s="0" t="s">
        <v>855</v>
      </c>
      <c r="Q38" s="0" t="s">
        <v>856</v>
      </c>
      <c r="R38" s="34" t="s">
        <v>918</v>
      </c>
      <c r="S38" s="34" t="s">
        <v>138</v>
      </c>
      <c r="T38" s="34" t="s">
        <v>138</v>
      </c>
      <c r="U38" s="34" t="s">
        <v>138</v>
      </c>
      <c r="W38" s="46" t="s">
        <v>870</v>
      </c>
      <c r="X38" s="46" t="s">
        <v>138</v>
      </c>
      <c r="Y38" s="34" t="s">
        <v>919</v>
      </c>
      <c r="Z38" s="48" t="s">
        <v>911</v>
      </c>
      <c r="AA38" s="0" t="s">
        <v>872</v>
      </c>
      <c r="AB38" s="0" t="n">
        <f aca="false">COUNTIFS($Q$2:$Q$120,"ICU",$M$2:$M$120,"ICU",$D$2:$D$120,"&gt;"&amp;11)</f>
        <v>8</v>
      </c>
      <c r="AC38" s="0" t="n">
        <f aca="false">COUNTIFS($Q$2:$Q$120,"&lt;&gt;ICU",$M$2:$M$120,"ICU",$D$2:$D$120,"&gt;"&amp;11)</f>
        <v>1</v>
      </c>
      <c r="AF38" s="34" t="s">
        <v>919</v>
      </c>
      <c r="AG38" s="48" t="s">
        <v>911</v>
      </c>
      <c r="AH38" s="0" t="s">
        <v>872</v>
      </c>
      <c r="AI38" s="0" t="n">
        <f aca="false">COUNTIFS($Q$2:$Q$120,"ICU",$M$2:$M$120,"ICU",$D$2:$D$120,"&gt;"&amp;18)</f>
        <v>7</v>
      </c>
      <c r="AJ38" s="0" t="n">
        <f aca="false">COUNTIFS($Q$2:$Q$120,"&lt;&gt;ICU",$M$2:$M$120,"ICU",$D$2:$D$120,"&gt;"&amp;18)</f>
        <v>1</v>
      </c>
      <c r="AM38" s="34" t="s">
        <v>919</v>
      </c>
      <c r="AN38" s="34"/>
      <c r="AO38" s="48" t="s">
        <v>911</v>
      </c>
      <c r="AP38" s="0" t="s">
        <v>872</v>
      </c>
      <c r="AQ38" s="0" t="n">
        <f aca="false">COUNTIFS($Q$2:$Q$120,"ICU",$M$2:$M$120,"ICU",$D$2:$D$120,"&gt;"&amp;11, $D$2:$D$120,"&lt;"&amp;19)</f>
        <v>1</v>
      </c>
      <c r="AR38" s="0" t="n">
        <f aca="false">COUNTIFS($Q$2:$Q$120,"&lt;&gt;ICU",$M$2:$M$120,"ICU",$D$2:$D$120,"&gt;"&amp;11, $D$2:$D$120,"&lt;"&amp;19)</f>
        <v>0</v>
      </c>
    </row>
    <row r="39" customFormat="false" ht="25" hidden="false" customHeight="false" outlineLevel="0" collapsed="false">
      <c r="A39" s="3" t="s">
        <v>757</v>
      </c>
      <c r="B39" s="3" t="s">
        <v>853</v>
      </c>
      <c r="C39" s="0" t="s">
        <v>879</v>
      </c>
      <c r="D39" s="0" t="n">
        <v>26</v>
      </c>
      <c r="E39" s="0" t="n">
        <v>107</v>
      </c>
      <c r="F39" s="0" t="n">
        <v>118</v>
      </c>
      <c r="G39" s="0" t="n">
        <v>15</v>
      </c>
      <c r="H39" s="0" t="s">
        <v>138</v>
      </c>
      <c r="I39" s="0" t="s">
        <v>138</v>
      </c>
      <c r="J39" s="0" t="s">
        <v>731</v>
      </c>
      <c r="K39" s="0" t="s">
        <v>138</v>
      </c>
      <c r="L39" s="0" t="n">
        <v>14</v>
      </c>
      <c r="M39" s="0" t="str">
        <f aca="false">IF($L39&gt;17,"ICU","GMF")</f>
        <v>GMF</v>
      </c>
      <c r="N39" s="0" t="s">
        <v>872</v>
      </c>
      <c r="Q39" s="0" t="s">
        <v>856</v>
      </c>
      <c r="R39" s="34" t="s">
        <v>920</v>
      </c>
      <c r="S39" s="34" t="s">
        <v>138</v>
      </c>
      <c r="T39" s="34" t="s">
        <v>138</v>
      </c>
      <c r="U39" s="34" t="s">
        <v>138</v>
      </c>
      <c r="V39" s="0" t="s">
        <v>921</v>
      </c>
      <c r="W39" s="0" t="s">
        <v>870</v>
      </c>
      <c r="X39" s="0" t="s">
        <v>138</v>
      </c>
      <c r="Z39" s="48"/>
      <c r="AA39" s="0" t="s">
        <v>909</v>
      </c>
      <c r="AB39" s="0" t="n">
        <f aca="false">COUNTIFS($Q$2:$Q$120,"ICU",$M$2:$M$120,"&lt;&gt;ICU",$D$2:$D$120,"&gt;"&amp;11)</f>
        <v>12</v>
      </c>
      <c r="AC39" s="0" t="n">
        <f aca="false">COUNTIFS($Q$2:$Q$120,"&lt;&gt;ICU",$M$2:$M$120,"&lt;&gt;ICU",$D$2:$D$120,"&gt;"&amp;11)</f>
        <v>82</v>
      </c>
      <c r="AG39" s="48"/>
      <c r="AH39" s="0" t="s">
        <v>909</v>
      </c>
      <c r="AI39" s="0" t="n">
        <f aca="false">COUNTIFS($Q$2:$Q$120,"ICU",$M$2:$M$120,"&lt;&gt;ICU",$D$2:$D$120,"&gt;"&amp;8)</f>
        <v>12</v>
      </c>
      <c r="AJ39" s="0" t="n">
        <f aca="false">COUNTIFS($Q$2:$Q$120,"&lt;&gt;ICU",$M$2:$M$120,"&lt;&gt;ICU",$D$2:$D$120,"&gt;"&amp;18)</f>
        <v>59</v>
      </c>
      <c r="AO39" s="48"/>
      <c r="AP39" s="0" t="s">
        <v>909</v>
      </c>
      <c r="AQ39" s="0" t="n">
        <f aca="false">COUNTIFS($Q$2:$Q$120,"ICU",$M$2:$M$120,"&lt;&gt;ICU",$D$2:$D$120,"&gt;"&amp;11, $D$2:$D$120,"&lt;"&amp;19)</f>
        <v>3</v>
      </c>
      <c r="AR39" s="0" t="n">
        <f aca="false">COUNTIFS($Q$2:$Q$120,"&lt;&gt;ICU",$M$2:$M$120,"&lt;&gt;ICU",$D$2:$D$120,"&gt;"&amp;11,$D$2:$D$120,"&lt;"&amp;19)</f>
        <v>23</v>
      </c>
    </row>
    <row r="40" customFormat="false" ht="15" hidden="false" customHeight="false" outlineLevel="0" collapsed="false">
      <c r="A40" s="0" t="s">
        <v>17</v>
      </c>
      <c r="B40" s="0" t="s">
        <v>853</v>
      </c>
      <c r="C40" s="0" t="s">
        <v>865</v>
      </c>
      <c r="D40" s="0" t="n">
        <v>27</v>
      </c>
      <c r="E40" s="0" t="n">
        <v>97</v>
      </c>
      <c r="F40" s="0" t="n">
        <v>122</v>
      </c>
      <c r="G40" s="0" t="n">
        <v>15</v>
      </c>
      <c r="H40" s="0" t="s">
        <v>138</v>
      </c>
      <c r="I40" s="0" t="s">
        <v>138</v>
      </c>
      <c r="J40" s="0" t="s">
        <v>138</v>
      </c>
      <c r="K40" s="0" t="s">
        <v>138</v>
      </c>
      <c r="L40" s="0" t="n">
        <v>0</v>
      </c>
      <c r="M40" s="0" t="str">
        <f aca="false">IF($L40&gt;17,"ICU","GMF")</f>
        <v>GMF</v>
      </c>
      <c r="N40" s="0" t="s">
        <v>855</v>
      </c>
      <c r="Q40" s="0" t="s">
        <v>856</v>
      </c>
      <c r="R40" s="34" t="s">
        <v>922</v>
      </c>
      <c r="S40" s="34" t="s">
        <v>138</v>
      </c>
      <c r="T40" s="34" t="s">
        <v>138</v>
      </c>
      <c r="W40" s="0" t="s">
        <v>864</v>
      </c>
      <c r="X40" s="0" t="s">
        <v>731</v>
      </c>
      <c r="AB40" s="0" t="s">
        <v>912</v>
      </c>
      <c r="AC40" s="0" t="n">
        <f aca="false">SUM(AB38:AC39)</f>
        <v>103</v>
      </c>
      <c r="AE40" s="0" t="s">
        <v>913</v>
      </c>
      <c r="AI40" s="0" t="s">
        <v>912</v>
      </c>
      <c r="AJ40" s="0" t="n">
        <f aca="false">SUM(AI38:AJ39)</f>
        <v>79</v>
      </c>
      <c r="AQ40" s="0" t="s">
        <v>912</v>
      </c>
      <c r="AR40" s="0" t="n">
        <f aca="false">SUM(AQ38:AR39)</f>
        <v>27</v>
      </c>
    </row>
    <row r="41" customFormat="false" ht="15" hidden="false" customHeight="false" outlineLevel="0" collapsed="false">
      <c r="B41" s="0" t="s">
        <v>853</v>
      </c>
      <c r="C41" s="0" t="s">
        <v>871</v>
      </c>
      <c r="D41" s="0" t="n">
        <v>27</v>
      </c>
      <c r="E41" s="0" t="n">
        <v>66</v>
      </c>
      <c r="F41" s="0" t="n">
        <v>109</v>
      </c>
      <c r="G41" s="0" t="n">
        <v>15</v>
      </c>
      <c r="H41" s="0" t="s">
        <v>138</v>
      </c>
      <c r="I41" s="0" t="s">
        <v>138</v>
      </c>
      <c r="J41" s="0" t="s">
        <v>138</v>
      </c>
      <c r="K41" s="0" t="s">
        <v>138</v>
      </c>
      <c r="L41" s="0" t="n">
        <v>4</v>
      </c>
      <c r="M41" s="0" t="str">
        <f aca="false">IF($L41&gt;17,"ICU","GMF")</f>
        <v>GMF</v>
      </c>
      <c r="N41" s="0" t="s">
        <v>855</v>
      </c>
      <c r="Q41" s="0" t="s">
        <v>856</v>
      </c>
      <c r="R41" s="2" t="s">
        <v>435</v>
      </c>
      <c r="S41" s="34" t="s">
        <v>138</v>
      </c>
      <c r="T41" s="34" t="s">
        <v>138</v>
      </c>
      <c r="U41" s="34" t="s">
        <v>138</v>
      </c>
      <c r="V41" s="0" t="s">
        <v>886</v>
      </c>
      <c r="W41" s="0" t="s">
        <v>864</v>
      </c>
      <c r="X41" s="0" t="s">
        <v>731</v>
      </c>
    </row>
    <row r="42" customFormat="false" ht="15" hidden="false" customHeight="false" outlineLevel="0" collapsed="false">
      <c r="A42" s="3" t="s">
        <v>333</v>
      </c>
      <c r="B42" s="0" t="s">
        <v>853</v>
      </c>
      <c r="C42" s="0" t="s">
        <v>879</v>
      </c>
      <c r="D42" s="0" t="n">
        <v>27</v>
      </c>
      <c r="E42" s="0" t="n">
        <v>92</v>
      </c>
      <c r="F42" s="0" t="n">
        <v>139</v>
      </c>
      <c r="G42" s="0" t="n">
        <v>15</v>
      </c>
      <c r="H42" s="0" t="s">
        <v>138</v>
      </c>
      <c r="I42" s="0" t="s">
        <v>138</v>
      </c>
      <c r="J42" s="0" t="s">
        <v>138</v>
      </c>
      <c r="K42" s="0" t="s">
        <v>138</v>
      </c>
      <c r="L42" s="0" t="n">
        <v>5</v>
      </c>
      <c r="M42" s="0" t="str">
        <f aca="false">IF($L42&gt;17,"ICU","GMF")</f>
        <v>GMF</v>
      </c>
      <c r="N42" s="0" t="s">
        <v>855</v>
      </c>
      <c r="Q42" s="0" t="s">
        <v>856</v>
      </c>
      <c r="R42" s="34" t="s">
        <v>923</v>
      </c>
      <c r="S42" s="34" t="s">
        <v>138</v>
      </c>
      <c r="T42" s="34" t="s">
        <v>138</v>
      </c>
      <c r="U42" s="34" t="s">
        <v>138</v>
      </c>
      <c r="W42" s="0" t="s">
        <v>859</v>
      </c>
      <c r="X42" s="0" t="s">
        <v>731</v>
      </c>
    </row>
    <row r="43" customFormat="false" ht="25" hidden="false" customHeight="false" outlineLevel="0" collapsed="false">
      <c r="A43" s="3" t="s">
        <v>187</v>
      </c>
      <c r="B43" s="3" t="s">
        <v>866</v>
      </c>
      <c r="C43" s="0" t="s">
        <v>883</v>
      </c>
      <c r="D43" s="0" t="n">
        <v>28</v>
      </c>
      <c r="E43" s="0" t="n">
        <v>100</v>
      </c>
      <c r="F43" s="0" t="n">
        <v>145</v>
      </c>
      <c r="G43" s="0" t="n">
        <v>15</v>
      </c>
      <c r="H43" s="0" t="s">
        <v>138</v>
      </c>
      <c r="I43" s="0" t="s">
        <v>138</v>
      </c>
      <c r="J43" s="0" t="s">
        <v>138</v>
      </c>
      <c r="K43" s="0" t="s">
        <v>138</v>
      </c>
      <c r="L43" s="0" t="n">
        <v>2</v>
      </c>
      <c r="M43" s="0" t="str">
        <f aca="false">IF($L43&gt;17,"ICU","GMF")</f>
        <v>GMF</v>
      </c>
      <c r="N43" s="0" t="s">
        <v>855</v>
      </c>
      <c r="Q43" s="0" t="s">
        <v>856</v>
      </c>
      <c r="R43" s="34" t="s">
        <v>924</v>
      </c>
      <c r="S43" s="40" t="s">
        <v>138</v>
      </c>
      <c r="T43" s="40" t="s">
        <v>138</v>
      </c>
      <c r="U43" s="34" t="s">
        <v>138</v>
      </c>
      <c r="V43" s="0" t="s">
        <v>925</v>
      </c>
      <c r="W43" s="0" t="s">
        <v>864</v>
      </c>
      <c r="X43" s="0" t="s">
        <v>731</v>
      </c>
    </row>
    <row r="44" customFormat="false" ht="15" hidden="false" customHeight="false" outlineLevel="0" collapsed="false">
      <c r="A44" s="3" t="s">
        <v>256</v>
      </c>
      <c r="B44" s="3" t="s">
        <v>853</v>
      </c>
      <c r="C44" s="0" t="s">
        <v>862</v>
      </c>
      <c r="D44" s="0" t="n">
        <v>28</v>
      </c>
      <c r="E44" s="0" t="n">
        <v>90</v>
      </c>
      <c r="F44" s="0" t="n">
        <v>115</v>
      </c>
      <c r="G44" s="0" t="n">
        <v>15</v>
      </c>
      <c r="H44" s="0" t="s">
        <v>138</v>
      </c>
      <c r="I44" s="0" t="s">
        <v>138</v>
      </c>
      <c r="J44" s="0" t="s">
        <v>138</v>
      </c>
      <c r="K44" s="0" t="s">
        <v>138</v>
      </c>
      <c r="L44" s="0" t="n">
        <v>6</v>
      </c>
      <c r="M44" s="0" t="str">
        <f aca="false">IF($L44&gt;17,"ICU","GMF")</f>
        <v>GMF</v>
      </c>
      <c r="N44" s="0" t="s">
        <v>855</v>
      </c>
      <c r="Q44" s="0" t="s">
        <v>856</v>
      </c>
      <c r="S44" s="34" t="s">
        <v>138</v>
      </c>
      <c r="T44" s="34" t="s">
        <v>138</v>
      </c>
      <c r="U44" s="34" t="s">
        <v>138</v>
      </c>
      <c r="W44" s="0" t="s">
        <v>864</v>
      </c>
      <c r="X44" s="0" t="s">
        <v>731</v>
      </c>
    </row>
    <row r="45" customFormat="false" ht="15" hidden="false" customHeight="false" outlineLevel="0" collapsed="false">
      <c r="B45" s="0" t="s">
        <v>866</v>
      </c>
      <c r="C45" s="0" t="s">
        <v>883</v>
      </c>
      <c r="D45" s="0" t="n">
        <v>28</v>
      </c>
      <c r="E45" s="0" t="n">
        <v>108</v>
      </c>
      <c r="F45" s="0" t="n">
        <v>108</v>
      </c>
      <c r="G45" s="0" t="n">
        <v>15</v>
      </c>
      <c r="H45" s="0" t="s">
        <v>138</v>
      </c>
      <c r="I45" s="0" t="s">
        <v>138</v>
      </c>
      <c r="J45" s="0" t="s">
        <v>731</v>
      </c>
      <c r="K45" s="0" t="s">
        <v>138</v>
      </c>
      <c r="L45" s="0" t="n">
        <v>13</v>
      </c>
      <c r="M45" s="0" t="str">
        <f aca="false">IF($L45&gt;17,"ICU","GMF")</f>
        <v>GMF</v>
      </c>
      <c r="N45" s="0" t="s">
        <v>872</v>
      </c>
      <c r="Q45" s="0" t="s">
        <v>856</v>
      </c>
      <c r="S45" s="40" t="s">
        <v>138</v>
      </c>
      <c r="T45" s="40" t="s">
        <v>138</v>
      </c>
      <c r="U45" s="40" t="s">
        <v>138</v>
      </c>
      <c r="V45" s="0" t="s">
        <v>886</v>
      </c>
      <c r="W45" s="0" t="s">
        <v>864</v>
      </c>
      <c r="X45" s="0" t="s">
        <v>731</v>
      </c>
      <c r="Y45" s="0" t="s">
        <v>926</v>
      </c>
      <c r="AI45" s="0" t="s">
        <v>847</v>
      </c>
    </row>
    <row r="46" customFormat="false" ht="25" hidden="false" customHeight="false" outlineLevel="0" collapsed="false">
      <c r="A46" s="3" t="s">
        <v>236</v>
      </c>
      <c r="B46" s="3" t="s">
        <v>853</v>
      </c>
      <c r="C46" s="0" t="s">
        <v>883</v>
      </c>
      <c r="D46" s="0" t="n">
        <v>29</v>
      </c>
      <c r="E46" s="0" t="n">
        <v>86</v>
      </c>
      <c r="F46" s="0" t="n">
        <v>116</v>
      </c>
      <c r="G46" s="0" t="n">
        <v>15</v>
      </c>
      <c r="H46" s="0" t="s">
        <v>138</v>
      </c>
      <c r="I46" s="0" t="s">
        <v>138</v>
      </c>
      <c r="J46" s="0" t="s">
        <v>138</v>
      </c>
      <c r="K46" s="0" t="s">
        <v>138</v>
      </c>
      <c r="L46" s="0" t="n">
        <v>5</v>
      </c>
      <c r="M46" s="0" t="str">
        <f aca="false">IF($L46&gt;17,"ICU","GMF")</f>
        <v>GMF</v>
      </c>
      <c r="N46" s="0" t="s">
        <v>855</v>
      </c>
      <c r="Q46" s="0" t="s">
        <v>856</v>
      </c>
      <c r="R46" s="34" t="s">
        <v>927</v>
      </c>
      <c r="S46" s="34" t="s">
        <v>138</v>
      </c>
      <c r="T46" s="34" t="s">
        <v>138</v>
      </c>
      <c r="U46" s="34" t="s">
        <v>138</v>
      </c>
      <c r="V46" s="34" t="s">
        <v>928</v>
      </c>
      <c r="W46" s="0" t="s">
        <v>877</v>
      </c>
      <c r="X46" s="0" t="s">
        <v>138</v>
      </c>
      <c r="Y46" s="34" t="s">
        <v>929</v>
      </c>
      <c r="AA46" s="0" t="n">
        <f aca="false">COUNTIFS($L$2:$L$150,"&lt;=6",$Q$2:$Q$150,"ICU")</f>
        <v>7</v>
      </c>
      <c r="AB46" s="0" t="n">
        <f aca="false">COUNTIFS($L$2:$L$150,"&lt;=6",$Q$2:$Q$150,"ICU",$U$2:$U$150,"Yes")</f>
        <v>0</v>
      </c>
      <c r="AC46" s="0" t="n">
        <f aca="false">COUNTIFS($L$2:$L$150,"&lt;=6",$Q$2:$Q$150,"ICU",$T$2:$T$150,"&lt;&gt;No")</f>
        <v>0</v>
      </c>
      <c r="AI46" s="0" t="s">
        <v>930</v>
      </c>
      <c r="AJ46" s="0" t="s">
        <v>931</v>
      </c>
    </row>
    <row r="47" customFormat="false" ht="25" hidden="false" customHeight="false" outlineLevel="0" collapsed="false">
      <c r="B47" s="0" t="s">
        <v>866</v>
      </c>
      <c r="C47" s="0" t="s">
        <v>871</v>
      </c>
      <c r="D47" s="0" t="n">
        <v>31</v>
      </c>
      <c r="E47" s="0" t="n">
        <v>60</v>
      </c>
      <c r="F47" s="0" t="n">
        <v>111</v>
      </c>
      <c r="G47" s="0" t="n">
        <v>15</v>
      </c>
      <c r="H47" s="0" t="s">
        <v>138</v>
      </c>
      <c r="I47" s="0" t="s">
        <v>138</v>
      </c>
      <c r="J47" s="0" t="s">
        <v>138</v>
      </c>
      <c r="K47" s="0" t="s">
        <v>138</v>
      </c>
      <c r="L47" s="0" t="n">
        <v>3</v>
      </c>
      <c r="M47" s="0" t="str">
        <f aca="false">IF($L47&gt;17,"ICU","GMF")</f>
        <v>GMF</v>
      </c>
      <c r="N47" s="0" t="s">
        <v>855</v>
      </c>
      <c r="Q47" s="0" t="s">
        <v>856</v>
      </c>
      <c r="R47" s="34" t="s">
        <v>932</v>
      </c>
      <c r="S47" s="34" t="s">
        <v>138</v>
      </c>
      <c r="T47" s="34" t="s">
        <v>138</v>
      </c>
      <c r="U47" s="34" t="s">
        <v>138</v>
      </c>
      <c r="V47" s="0" t="s">
        <v>921</v>
      </c>
      <c r="W47" s="0" t="s">
        <v>864</v>
      </c>
      <c r="X47" s="0" t="s">
        <v>731</v>
      </c>
      <c r="Y47" s="0" t="s">
        <v>933</v>
      </c>
      <c r="AA47" s="0" t="n">
        <f aca="false">COUNTIFS($L$2:$L$150,"&lt;=17",$Q$2:$Q$150,"ICU")</f>
        <v>13</v>
      </c>
      <c r="AB47" s="0" t="n">
        <f aca="false">COUNTIFS($L$2:$L$150,"&lt;=17",$Q$2:$Q$150,"ICU",$U$2:$U$150,"Yes")</f>
        <v>4</v>
      </c>
      <c r="AC47" s="0" t="n">
        <f aca="false">COUNTIFS($L$2:$L$150,"&lt;=17",$Q$2:$Q$150,"ICU",$T$2:$T$150,"&lt;&gt;No")</f>
        <v>1</v>
      </c>
      <c r="AG47" s="0" t="s">
        <v>872</v>
      </c>
      <c r="AH47" s="0" t="s">
        <v>930</v>
      </c>
      <c r="AI47" s="0" t="n">
        <f aca="false">COUNTIFS($Q$2:$Q$150,"ICU",$T$2:$T$150,"Yes")</f>
        <v>4</v>
      </c>
      <c r="AJ47" s="0" t="n">
        <f aca="false">COUNTIFS($Q$2:$Q$150,"ICU",$T$2:$T$150,"No")</f>
        <v>17</v>
      </c>
    </row>
    <row r="48" customFormat="false" ht="25" hidden="false" customHeight="false" outlineLevel="0" collapsed="false">
      <c r="A48" s="3" t="s">
        <v>241</v>
      </c>
      <c r="B48" s="3" t="s">
        <v>866</v>
      </c>
      <c r="C48" s="0" t="s">
        <v>883</v>
      </c>
      <c r="D48" s="0" t="n">
        <v>31</v>
      </c>
      <c r="E48" s="0" t="n">
        <v>115</v>
      </c>
      <c r="F48" s="0" t="n">
        <v>133</v>
      </c>
      <c r="G48" s="0" t="n">
        <v>15</v>
      </c>
      <c r="H48" s="0" t="s">
        <v>138</v>
      </c>
      <c r="I48" s="0" t="s">
        <v>138</v>
      </c>
      <c r="J48" s="0" t="s">
        <v>731</v>
      </c>
      <c r="K48" s="0" t="s">
        <v>138</v>
      </c>
      <c r="L48" s="0" t="n">
        <v>10</v>
      </c>
      <c r="M48" s="0" t="str">
        <f aca="false">IF($L48&gt;17,"ICU","GMF")</f>
        <v>GMF</v>
      </c>
      <c r="N48" s="0" t="s">
        <v>872</v>
      </c>
      <c r="Q48" s="0" t="s">
        <v>856</v>
      </c>
      <c r="R48" s="34" t="s">
        <v>934</v>
      </c>
      <c r="S48" s="34" t="s">
        <v>138</v>
      </c>
      <c r="T48" s="34" t="s">
        <v>138</v>
      </c>
      <c r="U48" s="34" t="s">
        <v>138</v>
      </c>
      <c r="V48" s="34" t="s">
        <v>874</v>
      </c>
      <c r="W48" s="0" t="s">
        <v>864</v>
      </c>
      <c r="X48" s="0" t="s">
        <v>731</v>
      </c>
      <c r="AA48" s="0" t="s">
        <v>900</v>
      </c>
      <c r="AB48" s="0" t="s">
        <v>935</v>
      </c>
      <c r="AC48" s="0" t="s">
        <v>847</v>
      </c>
      <c r="AH48" s="0" t="s">
        <v>931</v>
      </c>
      <c r="AI48" s="0" t="n">
        <f aca="false">COUNTIFS($Q$2:$Q$150,"&lt;&gt;ICU",$T$2:$T$150,"Yes")</f>
        <v>0</v>
      </c>
      <c r="AJ48" s="0" t="n">
        <f aca="false">COUNTIFS($Q$2:$Q$150,"&lt;&gt;ICU",$T$2:$T$150,"No")</f>
        <v>90</v>
      </c>
    </row>
    <row r="49" customFormat="false" ht="16.5" hidden="false" customHeight="true" outlineLevel="0" collapsed="false">
      <c r="A49" s="3" t="s">
        <v>390</v>
      </c>
      <c r="B49" s="3" t="s">
        <v>866</v>
      </c>
      <c r="C49" s="0" t="s">
        <v>875</v>
      </c>
      <c r="D49" s="0" t="n">
        <v>31</v>
      </c>
      <c r="E49" s="0" t="n">
        <v>102</v>
      </c>
      <c r="F49" s="0" t="n">
        <v>116</v>
      </c>
      <c r="G49" s="0" t="n">
        <v>15</v>
      </c>
      <c r="H49" s="0" t="s">
        <v>731</v>
      </c>
      <c r="I49" s="0" t="s">
        <v>138</v>
      </c>
      <c r="J49" s="0" t="s">
        <v>731</v>
      </c>
      <c r="K49" s="0" t="s">
        <v>138</v>
      </c>
      <c r="L49" s="0" t="n">
        <v>13</v>
      </c>
      <c r="M49" s="0" t="str">
        <f aca="false">IF($L49&gt;17,"ICU","GMF")</f>
        <v>GMF</v>
      </c>
      <c r="N49" s="0" t="s">
        <v>872</v>
      </c>
      <c r="Q49" s="0" t="s">
        <v>856</v>
      </c>
      <c r="R49" s="34" t="s">
        <v>389</v>
      </c>
      <c r="S49" s="34" t="s">
        <v>138</v>
      </c>
      <c r="T49" s="34" t="s">
        <v>138</v>
      </c>
      <c r="U49" s="34" t="s">
        <v>138</v>
      </c>
      <c r="V49" s="0" t="s">
        <v>936</v>
      </c>
      <c r="W49" s="0" t="s">
        <v>864</v>
      </c>
      <c r="X49" s="0" t="s">
        <v>731</v>
      </c>
    </row>
    <row r="50" customFormat="false" ht="16.5" hidden="false" customHeight="true" outlineLevel="0" collapsed="false">
      <c r="A50" s="3" t="s">
        <v>232</v>
      </c>
      <c r="B50" s="3" t="s">
        <v>866</v>
      </c>
      <c r="C50" s="0" t="s">
        <v>883</v>
      </c>
      <c r="D50" s="0" t="n">
        <v>32</v>
      </c>
      <c r="E50" s="0" t="n">
        <v>94</v>
      </c>
      <c r="F50" s="0" t="n">
        <v>100</v>
      </c>
      <c r="G50" s="0" t="n">
        <v>15</v>
      </c>
      <c r="H50" s="0" t="s">
        <v>138</v>
      </c>
      <c r="I50" s="0" t="s">
        <v>138</v>
      </c>
      <c r="J50" s="0" t="s">
        <v>138</v>
      </c>
      <c r="K50" s="0" t="s">
        <v>138</v>
      </c>
      <c r="L50" s="0" t="n">
        <v>6</v>
      </c>
      <c r="M50" s="0" t="str">
        <f aca="false">IF($L50&gt;17,"ICU","GMF")</f>
        <v>GMF</v>
      </c>
      <c r="N50" s="0" t="s">
        <v>855</v>
      </c>
      <c r="Q50" s="0" t="s">
        <v>856</v>
      </c>
      <c r="R50" s="34" t="s">
        <v>937</v>
      </c>
      <c r="S50" s="34" t="s">
        <v>138</v>
      </c>
      <c r="T50" s="34" t="s">
        <v>138</v>
      </c>
      <c r="U50" s="34" t="s">
        <v>138</v>
      </c>
      <c r="W50" s="0" t="s">
        <v>864</v>
      </c>
      <c r="X50" s="0" t="s">
        <v>731</v>
      </c>
    </row>
    <row r="51" customFormat="false" ht="16.5" hidden="false" customHeight="true" outlineLevel="0" collapsed="false">
      <c r="A51" s="3" t="s">
        <v>749</v>
      </c>
      <c r="B51" s="3" t="s">
        <v>853</v>
      </c>
      <c r="C51" s="0" t="s">
        <v>879</v>
      </c>
      <c r="D51" s="0" t="n">
        <v>32</v>
      </c>
      <c r="E51" s="0" t="n">
        <v>96</v>
      </c>
      <c r="F51" s="0" t="n">
        <v>114</v>
      </c>
      <c r="G51" s="0" t="n">
        <v>15</v>
      </c>
      <c r="H51" s="0" t="s">
        <v>138</v>
      </c>
      <c r="I51" s="0" t="s">
        <v>138</v>
      </c>
      <c r="J51" s="0" t="s">
        <v>138</v>
      </c>
      <c r="K51" s="0" t="s">
        <v>138</v>
      </c>
      <c r="L51" s="0" t="n">
        <v>8</v>
      </c>
      <c r="M51" s="0" t="str">
        <f aca="false">IF($L51&gt;17,"ICU","GMF")</f>
        <v>GMF</v>
      </c>
      <c r="N51" s="0" t="s">
        <v>872</v>
      </c>
      <c r="Q51" s="0" t="s">
        <v>856</v>
      </c>
      <c r="R51" s="34" t="s">
        <v>938</v>
      </c>
      <c r="S51" s="34" t="s">
        <v>138</v>
      </c>
      <c r="T51" s="34" t="s">
        <v>138</v>
      </c>
      <c r="U51" s="34" t="s">
        <v>138</v>
      </c>
      <c r="V51" s="0" t="s">
        <v>921</v>
      </c>
      <c r="W51" s="0" t="s">
        <v>870</v>
      </c>
      <c r="X51" s="0" t="s">
        <v>731</v>
      </c>
    </row>
    <row r="52" customFormat="false" ht="16.5" hidden="false" customHeight="true" outlineLevel="0" collapsed="false">
      <c r="A52" s="0" t="s">
        <v>22</v>
      </c>
      <c r="B52" s="0" t="s">
        <v>866</v>
      </c>
      <c r="C52" s="0" t="s">
        <v>883</v>
      </c>
      <c r="D52" s="0" t="n">
        <v>33</v>
      </c>
      <c r="E52" s="0" t="n">
        <v>86</v>
      </c>
      <c r="F52" s="0" t="n">
        <v>170</v>
      </c>
      <c r="G52" s="0" t="n">
        <v>15</v>
      </c>
      <c r="H52" s="0" t="s">
        <v>138</v>
      </c>
      <c r="I52" s="0" t="s">
        <v>138</v>
      </c>
      <c r="J52" s="0" t="s">
        <v>138</v>
      </c>
      <c r="K52" s="0" t="s">
        <v>138</v>
      </c>
      <c r="L52" s="0" t="n">
        <v>1</v>
      </c>
      <c r="M52" s="0" t="str">
        <f aca="false">IF($L52&gt;17,"ICU","GMF")</f>
        <v>GMF</v>
      </c>
      <c r="N52" s="0" t="s">
        <v>855</v>
      </c>
      <c r="Q52" s="0" t="s">
        <v>856</v>
      </c>
      <c r="R52" s="34" t="s">
        <v>939</v>
      </c>
      <c r="S52" s="34" t="s">
        <v>138</v>
      </c>
      <c r="T52" s="34" t="s">
        <v>138</v>
      </c>
      <c r="W52" s="0" t="s">
        <v>859</v>
      </c>
      <c r="X52" s="0" t="s">
        <v>731</v>
      </c>
    </row>
    <row r="53" customFormat="false" ht="16.5" hidden="false" customHeight="true" outlineLevel="0" collapsed="false">
      <c r="B53" s="0" t="s">
        <v>853</v>
      </c>
      <c r="C53" s="0" t="s">
        <v>879</v>
      </c>
      <c r="D53" s="0" t="n">
        <v>35</v>
      </c>
      <c r="E53" s="0" t="n">
        <v>110</v>
      </c>
      <c r="F53" s="0" t="n">
        <v>153</v>
      </c>
      <c r="G53" s="0" t="n">
        <v>15</v>
      </c>
      <c r="H53" s="0" t="s">
        <v>138</v>
      </c>
      <c r="I53" s="0" t="s">
        <v>138</v>
      </c>
      <c r="J53" s="0" t="s">
        <v>731</v>
      </c>
      <c r="K53" s="0" t="s">
        <v>138</v>
      </c>
      <c r="L53" s="0" t="n">
        <v>12</v>
      </c>
      <c r="M53" s="0" t="str">
        <f aca="false">IF($L53&gt;17,"ICU","GMF")</f>
        <v>GMF</v>
      </c>
      <c r="N53" s="0" t="s">
        <v>872</v>
      </c>
      <c r="Q53" s="0" t="s">
        <v>856</v>
      </c>
      <c r="R53" s="34" t="s">
        <v>940</v>
      </c>
      <c r="S53" s="40" t="s">
        <v>138</v>
      </c>
      <c r="T53" s="40" t="s">
        <v>138</v>
      </c>
      <c r="U53" s="40" t="s">
        <v>138</v>
      </c>
      <c r="V53" s="40" t="s">
        <v>941</v>
      </c>
      <c r="W53" s="0" t="s">
        <v>859</v>
      </c>
      <c r="X53" s="0" t="s">
        <v>731</v>
      </c>
    </row>
    <row r="54" customFormat="false" ht="16.5" hidden="false" customHeight="true" outlineLevel="0" collapsed="false">
      <c r="B54" s="0" t="s">
        <v>866</v>
      </c>
      <c r="C54" s="0" t="s">
        <v>883</v>
      </c>
      <c r="D54" s="0" t="n">
        <v>35</v>
      </c>
      <c r="E54" s="0" t="n">
        <v>104</v>
      </c>
      <c r="F54" s="0" t="n">
        <v>174</v>
      </c>
      <c r="G54" s="0" t="n">
        <v>15</v>
      </c>
      <c r="H54" s="0" t="s">
        <v>138</v>
      </c>
      <c r="I54" s="0" t="s">
        <v>138</v>
      </c>
      <c r="J54" s="0" t="s">
        <v>731</v>
      </c>
      <c r="K54" s="0" t="s">
        <v>138</v>
      </c>
      <c r="L54" s="0" t="n">
        <v>9</v>
      </c>
      <c r="M54" s="0" t="str">
        <f aca="false">IF($L54&gt;17,"ICU","GMF")</f>
        <v>GMF</v>
      </c>
      <c r="N54" s="0" t="s">
        <v>872</v>
      </c>
      <c r="Q54" s="0" t="s">
        <v>856</v>
      </c>
      <c r="R54" s="34" t="s">
        <v>942</v>
      </c>
      <c r="S54" s="40" t="s">
        <v>138</v>
      </c>
      <c r="T54" s="40" t="s">
        <v>138</v>
      </c>
      <c r="U54" s="40" t="s">
        <v>138</v>
      </c>
      <c r="V54" s="0" t="s">
        <v>886</v>
      </c>
      <c r="W54" s="0" t="s">
        <v>859</v>
      </c>
      <c r="X54" s="0" t="s">
        <v>731</v>
      </c>
    </row>
    <row r="55" customFormat="false" ht="16.5" hidden="false" customHeight="true" outlineLevel="0" collapsed="false">
      <c r="A55" s="0" t="s">
        <v>36</v>
      </c>
      <c r="B55" s="0" t="s">
        <v>853</v>
      </c>
      <c r="C55" s="0" t="s">
        <v>875</v>
      </c>
      <c r="D55" s="0" t="n">
        <v>36</v>
      </c>
      <c r="E55" s="0" t="n">
        <v>105</v>
      </c>
      <c r="F55" s="0" t="n">
        <v>118</v>
      </c>
      <c r="G55" s="0" t="n">
        <v>15</v>
      </c>
      <c r="H55" s="0" t="s">
        <v>731</v>
      </c>
      <c r="I55" s="0" t="s">
        <v>138</v>
      </c>
      <c r="J55" s="0" t="s">
        <v>731</v>
      </c>
      <c r="K55" s="0" t="s">
        <v>138</v>
      </c>
      <c r="L55" s="0" t="n">
        <v>16</v>
      </c>
      <c r="M55" s="0" t="str">
        <f aca="false">IF($L55&gt;17,"ICU","GMF")</f>
        <v>GMF</v>
      </c>
      <c r="N55" s="0" t="s">
        <v>872</v>
      </c>
      <c r="Q55" s="0" t="s">
        <v>856</v>
      </c>
      <c r="R55" s="34" t="s">
        <v>943</v>
      </c>
      <c r="S55" s="34" t="s">
        <v>138</v>
      </c>
      <c r="T55" s="34" t="s">
        <v>138</v>
      </c>
      <c r="W55" s="0" t="s">
        <v>864</v>
      </c>
      <c r="X55" s="0" t="s">
        <v>731</v>
      </c>
    </row>
    <row r="56" customFormat="false" ht="16.5" hidden="false" customHeight="true" outlineLevel="0" collapsed="false">
      <c r="A56" s="14" t="s">
        <v>77</v>
      </c>
      <c r="B56" s="14" t="s">
        <v>853</v>
      </c>
      <c r="C56" s="0" t="s">
        <v>865</v>
      </c>
      <c r="D56" s="0" t="n">
        <v>37</v>
      </c>
      <c r="E56" s="0" t="n">
        <v>124</v>
      </c>
      <c r="F56" s="0" t="n">
        <v>115</v>
      </c>
      <c r="G56" s="0" t="n">
        <v>15</v>
      </c>
      <c r="H56" s="0" t="s">
        <v>138</v>
      </c>
      <c r="I56" s="0" t="s">
        <v>138</v>
      </c>
      <c r="J56" s="0" t="s">
        <v>731</v>
      </c>
      <c r="K56" s="0" t="s">
        <v>138</v>
      </c>
      <c r="L56" s="0" t="n">
        <v>9</v>
      </c>
      <c r="M56" s="0" t="str">
        <f aca="false">IF($L56&gt;17,"ICU","GMF")</f>
        <v>GMF</v>
      </c>
      <c r="N56" s="0" t="s">
        <v>872</v>
      </c>
      <c r="Q56" s="0" t="s">
        <v>856</v>
      </c>
      <c r="S56" s="40" t="s">
        <v>138</v>
      </c>
      <c r="T56" s="40" t="s">
        <v>138</v>
      </c>
      <c r="U56" s="40"/>
      <c r="V56" s="40" t="s">
        <v>881</v>
      </c>
      <c r="W56" s="0" t="s">
        <v>864</v>
      </c>
      <c r="X56" s="0" t="s">
        <v>731</v>
      </c>
    </row>
    <row r="57" customFormat="false" ht="16.5" hidden="false" customHeight="true" outlineLevel="0" collapsed="false">
      <c r="B57" s="0" t="s">
        <v>853</v>
      </c>
      <c r="C57" s="0" t="s">
        <v>871</v>
      </c>
      <c r="D57" s="0" t="n">
        <v>40</v>
      </c>
      <c r="E57" s="0" t="n">
        <v>78</v>
      </c>
      <c r="F57" s="0" t="n">
        <v>123</v>
      </c>
      <c r="G57" s="0" t="n">
        <v>15</v>
      </c>
      <c r="H57" s="0" t="s">
        <v>138</v>
      </c>
      <c r="I57" s="0" t="s">
        <v>138</v>
      </c>
      <c r="J57" s="0" t="s">
        <v>138</v>
      </c>
      <c r="K57" s="0" t="s">
        <v>138</v>
      </c>
      <c r="L57" s="0" t="n">
        <v>5</v>
      </c>
      <c r="M57" s="0" t="str">
        <f aca="false">IF($L57&gt;17,"ICU","GMF")</f>
        <v>GMF</v>
      </c>
      <c r="N57" s="0" t="s">
        <v>855</v>
      </c>
      <c r="Q57" s="0" t="s">
        <v>856</v>
      </c>
      <c r="R57" s="34" t="s">
        <v>944</v>
      </c>
      <c r="S57" s="40" t="s">
        <v>138</v>
      </c>
      <c r="T57" s="40" t="s">
        <v>138</v>
      </c>
      <c r="U57" s="40" t="s">
        <v>138</v>
      </c>
      <c r="W57" s="0" t="s">
        <v>864</v>
      </c>
      <c r="X57" s="0" t="s">
        <v>731</v>
      </c>
    </row>
    <row r="58" customFormat="false" ht="16.5" hidden="false" customHeight="true" outlineLevel="0" collapsed="false">
      <c r="A58" s="3" t="s">
        <v>204</v>
      </c>
      <c r="B58" s="3" t="s">
        <v>866</v>
      </c>
      <c r="C58" s="0" t="s">
        <v>854</v>
      </c>
      <c r="D58" s="0" t="n">
        <v>42</v>
      </c>
      <c r="E58" s="0" t="n">
        <v>69</v>
      </c>
      <c r="F58" s="0" t="n">
        <v>135</v>
      </c>
      <c r="G58" s="0" t="n">
        <v>15</v>
      </c>
      <c r="H58" s="0" t="s">
        <v>138</v>
      </c>
      <c r="I58" s="0" t="s">
        <v>138</v>
      </c>
      <c r="J58" s="0" t="s">
        <v>138</v>
      </c>
      <c r="K58" s="0" t="s">
        <v>138</v>
      </c>
      <c r="L58" s="0" t="n">
        <v>4</v>
      </c>
      <c r="M58" s="0" t="str">
        <f aca="false">IF($L58&gt;17,"ICU","GMF")</f>
        <v>GMF</v>
      </c>
      <c r="N58" s="0" t="s">
        <v>855</v>
      </c>
      <c r="Q58" s="0" t="s">
        <v>856</v>
      </c>
      <c r="S58" s="34" t="s">
        <v>138</v>
      </c>
      <c r="T58" s="34" t="s">
        <v>138</v>
      </c>
      <c r="U58" s="34" t="s">
        <v>138</v>
      </c>
      <c r="W58" s="0" t="s">
        <v>859</v>
      </c>
      <c r="X58" s="0" t="s">
        <v>138</v>
      </c>
    </row>
    <row r="59" customFormat="false" ht="16.5" hidden="false" customHeight="true" outlineLevel="0" collapsed="false">
      <c r="A59" s="3" t="s">
        <v>111</v>
      </c>
      <c r="B59" s="3" t="s">
        <v>853</v>
      </c>
      <c r="C59" s="0" t="s">
        <v>871</v>
      </c>
      <c r="D59" s="0" t="n">
        <v>42</v>
      </c>
      <c r="E59" s="0" t="n">
        <v>115</v>
      </c>
      <c r="F59" s="0" t="n">
        <v>131</v>
      </c>
      <c r="G59" s="0" t="n">
        <v>15</v>
      </c>
      <c r="H59" s="0" t="s">
        <v>138</v>
      </c>
      <c r="I59" s="0" t="s">
        <v>138</v>
      </c>
      <c r="J59" s="0" t="s">
        <v>731</v>
      </c>
      <c r="K59" s="0" t="s">
        <v>138</v>
      </c>
      <c r="L59" s="0" t="n">
        <v>12</v>
      </c>
      <c r="M59" s="0" t="str">
        <f aca="false">IF($L59&gt;17,"ICU","GMF")</f>
        <v>GMF</v>
      </c>
      <c r="N59" s="0" t="s">
        <v>872</v>
      </c>
      <c r="Q59" s="0" t="s">
        <v>856</v>
      </c>
      <c r="S59" s="40" t="s">
        <v>138</v>
      </c>
      <c r="T59" s="40" t="s">
        <v>138</v>
      </c>
      <c r="U59" s="34" t="s">
        <v>731</v>
      </c>
      <c r="V59" s="0" t="s">
        <v>945</v>
      </c>
      <c r="W59" s="0" t="s">
        <v>859</v>
      </c>
      <c r="X59" s="0" t="s">
        <v>731</v>
      </c>
    </row>
    <row r="60" customFormat="false" ht="16.5" hidden="false" customHeight="true" outlineLevel="0" collapsed="false">
      <c r="A60" s="3" t="s">
        <v>742</v>
      </c>
      <c r="B60" s="3" t="s">
        <v>853</v>
      </c>
      <c r="C60" s="0" t="s">
        <v>883</v>
      </c>
      <c r="D60" s="0" t="n">
        <v>43</v>
      </c>
      <c r="E60" s="0" t="n">
        <v>79</v>
      </c>
      <c r="F60" s="0" t="n">
        <v>120</v>
      </c>
      <c r="G60" s="0" t="n">
        <v>15</v>
      </c>
      <c r="H60" s="0" t="s">
        <v>138</v>
      </c>
      <c r="I60" s="0" t="s">
        <v>138</v>
      </c>
      <c r="J60" s="0" t="s">
        <v>138</v>
      </c>
      <c r="K60" s="0" t="s">
        <v>138</v>
      </c>
      <c r="L60" s="0" t="n">
        <v>5</v>
      </c>
      <c r="M60" s="0" t="str">
        <f aca="false">IF($L60&gt;17,"ICU","GMF")</f>
        <v>GMF</v>
      </c>
      <c r="N60" s="0" t="s">
        <v>855</v>
      </c>
      <c r="Q60" s="0" t="s">
        <v>856</v>
      </c>
      <c r="R60" s="34" t="s">
        <v>946</v>
      </c>
      <c r="S60" s="34" t="s">
        <v>138</v>
      </c>
      <c r="T60" s="34" t="s">
        <v>138</v>
      </c>
      <c r="U60" s="34" t="s">
        <v>138</v>
      </c>
      <c r="V60" s="0" t="s">
        <v>886</v>
      </c>
      <c r="W60" s="0" t="s">
        <v>864</v>
      </c>
      <c r="X60" s="0" t="s">
        <v>731</v>
      </c>
    </row>
    <row r="61" customFormat="false" ht="16.5" hidden="false" customHeight="true" outlineLevel="0" collapsed="false">
      <c r="B61" s="0" t="s">
        <v>866</v>
      </c>
      <c r="C61" s="0" t="s">
        <v>854</v>
      </c>
      <c r="D61" s="0" t="n">
        <v>43</v>
      </c>
      <c r="E61" s="0" t="n">
        <v>151</v>
      </c>
      <c r="F61" s="0" t="n">
        <v>170</v>
      </c>
      <c r="G61" s="0" t="n">
        <v>15</v>
      </c>
      <c r="H61" s="0" t="s">
        <v>138</v>
      </c>
      <c r="I61" s="0" t="s">
        <v>138</v>
      </c>
      <c r="J61" s="0" t="s">
        <v>731</v>
      </c>
      <c r="K61" s="0" t="s">
        <v>138</v>
      </c>
      <c r="L61" s="0" t="n">
        <v>11</v>
      </c>
      <c r="M61" s="0" t="str">
        <f aca="false">IF($L61&gt;17,"ICU","GMF")</f>
        <v>GMF</v>
      </c>
      <c r="N61" s="0" t="s">
        <v>872</v>
      </c>
      <c r="Q61" s="0" t="s">
        <v>856</v>
      </c>
      <c r="R61" s="34" t="s">
        <v>947</v>
      </c>
      <c r="S61" s="40" t="s">
        <v>138</v>
      </c>
      <c r="T61" s="40" t="s">
        <v>138</v>
      </c>
      <c r="U61" s="40" t="s">
        <v>138</v>
      </c>
      <c r="V61" s="0" t="s">
        <v>936</v>
      </c>
      <c r="W61" s="0" t="s">
        <v>864</v>
      </c>
      <c r="X61" s="34" t="s">
        <v>731</v>
      </c>
    </row>
    <row r="62" customFormat="false" ht="16.5" hidden="false" customHeight="true" outlineLevel="0" collapsed="false">
      <c r="B62" s="0" t="s">
        <v>866</v>
      </c>
      <c r="C62" s="0" t="s">
        <v>867</v>
      </c>
      <c r="D62" s="0" t="n">
        <v>45</v>
      </c>
      <c r="E62" s="0" t="n">
        <v>97</v>
      </c>
      <c r="F62" s="0" t="n">
        <v>116</v>
      </c>
      <c r="G62" s="0" t="n">
        <v>15</v>
      </c>
      <c r="H62" s="0" t="s">
        <v>138</v>
      </c>
      <c r="I62" s="0" t="s">
        <v>138</v>
      </c>
      <c r="J62" s="0" t="s">
        <v>138</v>
      </c>
      <c r="K62" s="0" t="s">
        <v>138</v>
      </c>
      <c r="L62" s="0" t="n">
        <v>9</v>
      </c>
      <c r="M62" s="0" t="str">
        <f aca="false">IF($L62&gt;17,"ICU","GMF")</f>
        <v>GMF</v>
      </c>
      <c r="N62" s="0" t="s">
        <v>872</v>
      </c>
      <c r="Q62" s="0" t="s">
        <v>856</v>
      </c>
      <c r="R62" s="34" t="s">
        <v>439</v>
      </c>
      <c r="S62" s="34" t="s">
        <v>138</v>
      </c>
      <c r="T62" s="34" t="s">
        <v>138</v>
      </c>
      <c r="U62" s="34" t="s">
        <v>138</v>
      </c>
      <c r="V62" s="0" t="s">
        <v>886</v>
      </c>
      <c r="W62" s="0" t="s">
        <v>859</v>
      </c>
      <c r="X62" s="34" t="s">
        <v>731</v>
      </c>
    </row>
    <row r="63" customFormat="false" ht="16.5" hidden="false" customHeight="true" outlineLevel="0" collapsed="false">
      <c r="A63" s="3"/>
      <c r="B63" s="0" t="s">
        <v>853</v>
      </c>
      <c r="C63" s="0" t="s">
        <v>875</v>
      </c>
      <c r="D63" s="0" t="n">
        <v>47</v>
      </c>
      <c r="E63" s="0" t="n">
        <v>116</v>
      </c>
      <c r="F63" s="0" t="n">
        <v>168</v>
      </c>
      <c r="G63" s="0" t="n">
        <v>15</v>
      </c>
      <c r="H63" s="0" t="s">
        <v>731</v>
      </c>
      <c r="I63" s="0" t="s">
        <v>138</v>
      </c>
      <c r="J63" s="0" t="s">
        <v>138</v>
      </c>
      <c r="K63" s="0" t="s">
        <v>138</v>
      </c>
      <c r="L63" s="0" t="n">
        <v>14</v>
      </c>
      <c r="M63" s="0" t="str">
        <f aca="false">IF($L63&gt;17,"ICU","GMF")</f>
        <v>GMF</v>
      </c>
      <c r="N63" s="0" t="s">
        <v>872</v>
      </c>
      <c r="Q63" s="0" t="s">
        <v>856</v>
      </c>
      <c r="R63" s="34" t="s">
        <v>943</v>
      </c>
      <c r="S63" s="34" t="s">
        <v>138</v>
      </c>
      <c r="T63" s="34" t="s">
        <v>138</v>
      </c>
      <c r="U63" s="34" t="s">
        <v>138</v>
      </c>
      <c r="W63" s="0" t="s">
        <v>864</v>
      </c>
      <c r="X63" s="0" t="s">
        <v>731</v>
      </c>
    </row>
    <row r="64" customFormat="false" ht="16.5" hidden="false" customHeight="true" outlineLevel="0" collapsed="false">
      <c r="A64" s="3" t="s">
        <v>121</v>
      </c>
      <c r="B64" s="3" t="s">
        <v>866</v>
      </c>
      <c r="C64" s="0" t="s">
        <v>879</v>
      </c>
      <c r="D64" s="0" t="n">
        <v>50</v>
      </c>
      <c r="E64" s="0" t="n">
        <v>97</v>
      </c>
      <c r="F64" s="0" t="n">
        <v>113</v>
      </c>
      <c r="G64" s="0" t="n">
        <v>15</v>
      </c>
      <c r="H64" s="0" t="s">
        <v>138</v>
      </c>
      <c r="I64" s="0" t="s">
        <v>138</v>
      </c>
      <c r="J64" s="0" t="s">
        <v>138</v>
      </c>
      <c r="K64" s="0" t="s">
        <v>138</v>
      </c>
      <c r="L64" s="0" t="n">
        <v>12</v>
      </c>
      <c r="M64" s="0" t="str">
        <f aca="false">IF($L64&gt;17,"ICU","GMF")</f>
        <v>GMF</v>
      </c>
      <c r="N64" s="0" t="s">
        <v>872</v>
      </c>
      <c r="Q64" s="0" t="s">
        <v>856</v>
      </c>
      <c r="R64" s="34" t="s">
        <v>191</v>
      </c>
      <c r="S64" s="40" t="s">
        <v>138</v>
      </c>
      <c r="T64" s="40" t="s">
        <v>138</v>
      </c>
      <c r="U64" s="34" t="s">
        <v>138</v>
      </c>
      <c r="W64" s="0" t="s">
        <v>864</v>
      </c>
      <c r="X64" s="0" t="s">
        <v>731</v>
      </c>
    </row>
    <row r="65" customFormat="false" ht="16.5" hidden="false" customHeight="true" outlineLevel="0" collapsed="false">
      <c r="A65" s="3" t="s">
        <v>314</v>
      </c>
      <c r="B65" s="3" t="s">
        <v>866</v>
      </c>
      <c r="C65" s="0" t="s">
        <v>867</v>
      </c>
      <c r="D65" s="0" t="n">
        <v>50</v>
      </c>
      <c r="E65" s="0" t="n">
        <v>99</v>
      </c>
      <c r="F65" s="0" t="n">
        <v>103</v>
      </c>
      <c r="G65" s="0" t="n">
        <v>14</v>
      </c>
      <c r="H65" s="0" t="s">
        <v>138</v>
      </c>
      <c r="I65" s="0" t="s">
        <v>138</v>
      </c>
      <c r="J65" s="0" t="s">
        <v>138</v>
      </c>
      <c r="K65" s="0" t="s">
        <v>138</v>
      </c>
      <c r="L65" s="0" t="n">
        <v>10</v>
      </c>
      <c r="M65" s="0" t="str">
        <f aca="false">IF($L65&gt;17,"ICU","GMF")</f>
        <v>GMF</v>
      </c>
      <c r="N65" s="0" t="s">
        <v>872</v>
      </c>
      <c r="Q65" s="0" t="s">
        <v>856</v>
      </c>
      <c r="S65" s="34" t="s">
        <v>138</v>
      </c>
      <c r="T65" s="34" t="s">
        <v>138</v>
      </c>
      <c r="U65" s="34" t="s">
        <v>138</v>
      </c>
      <c r="W65" s="0" t="s">
        <v>864</v>
      </c>
      <c r="X65" s="0" t="s">
        <v>731</v>
      </c>
    </row>
    <row r="66" customFormat="false" ht="15" hidden="false" customHeight="false" outlineLevel="0" collapsed="false">
      <c r="A66" s="0" t="s">
        <v>801</v>
      </c>
      <c r="B66" s="0" t="s">
        <v>853</v>
      </c>
      <c r="C66" s="0" t="s">
        <v>862</v>
      </c>
      <c r="D66" s="0" t="n">
        <v>52</v>
      </c>
      <c r="E66" s="0" t="n">
        <v>51</v>
      </c>
      <c r="F66" s="0" t="n">
        <v>166</v>
      </c>
      <c r="G66" s="0" t="n">
        <v>15</v>
      </c>
      <c r="H66" s="0" t="s">
        <v>138</v>
      </c>
      <c r="I66" s="0" t="s">
        <v>731</v>
      </c>
      <c r="J66" s="0" t="s">
        <v>138</v>
      </c>
      <c r="K66" s="0" t="s">
        <v>138</v>
      </c>
      <c r="L66" s="0" t="n">
        <v>11</v>
      </c>
      <c r="M66" s="0" t="str">
        <f aca="false">IF($L66&gt;17,"ICU","GMF")</f>
        <v>GMF</v>
      </c>
      <c r="N66" s="0" t="s">
        <v>872</v>
      </c>
      <c r="Q66" s="0" t="s">
        <v>856</v>
      </c>
      <c r="R66" s="34" t="s">
        <v>178</v>
      </c>
      <c r="S66" s="34" t="s">
        <v>138</v>
      </c>
      <c r="T66" s="34" t="s">
        <v>138</v>
      </c>
      <c r="U66" s="49" t="s">
        <v>138</v>
      </c>
      <c r="W66" s="0" t="s">
        <v>864</v>
      </c>
      <c r="X66" s="0" t="s">
        <v>731</v>
      </c>
    </row>
    <row r="67" customFormat="false" ht="15" hidden="false" customHeight="false" outlineLevel="0" collapsed="false">
      <c r="A67" s="3" t="s">
        <v>200</v>
      </c>
      <c r="B67" s="3" t="s">
        <v>866</v>
      </c>
      <c r="C67" s="0" t="s">
        <v>854</v>
      </c>
      <c r="D67" s="0" t="n">
        <v>56</v>
      </c>
      <c r="E67" s="0" t="n">
        <v>107</v>
      </c>
      <c r="F67" s="0" t="n">
        <v>148</v>
      </c>
      <c r="G67" s="0" t="n">
        <v>15</v>
      </c>
      <c r="H67" s="0" t="s">
        <v>138</v>
      </c>
      <c r="I67" s="0" t="s">
        <v>138</v>
      </c>
      <c r="J67" s="0" t="s">
        <v>731</v>
      </c>
      <c r="K67" s="0" t="s">
        <v>138</v>
      </c>
      <c r="L67" s="0" t="n">
        <v>15</v>
      </c>
      <c r="M67" s="0" t="str">
        <f aca="false">IF($L67&gt;17,"ICU","GMF")</f>
        <v>GMF</v>
      </c>
      <c r="N67" s="0" t="s">
        <v>872</v>
      </c>
      <c r="Q67" s="0" t="s">
        <v>856</v>
      </c>
      <c r="R67" s="49" t="s">
        <v>948</v>
      </c>
      <c r="S67" s="40" t="s">
        <v>138</v>
      </c>
      <c r="T67" s="40" t="s">
        <v>138</v>
      </c>
      <c r="U67" s="34" t="s">
        <v>138</v>
      </c>
      <c r="V67" s="0" t="s">
        <v>874</v>
      </c>
      <c r="W67" s="0" t="s">
        <v>864</v>
      </c>
      <c r="X67" s="0" t="s">
        <v>731</v>
      </c>
    </row>
    <row r="68" customFormat="false" ht="15" hidden="false" customHeight="false" outlineLevel="0" collapsed="false">
      <c r="A68" s="3" t="s">
        <v>52</v>
      </c>
      <c r="B68" s="3" t="s">
        <v>853</v>
      </c>
      <c r="C68" s="0" t="s">
        <v>871</v>
      </c>
      <c r="D68" s="0" t="n">
        <v>58</v>
      </c>
      <c r="E68" s="0" t="n">
        <v>119</v>
      </c>
      <c r="F68" s="0" t="n">
        <v>166</v>
      </c>
      <c r="G68" s="0" t="n">
        <v>15</v>
      </c>
      <c r="H68" s="0" t="s">
        <v>138</v>
      </c>
      <c r="I68" s="0" t="s">
        <v>138</v>
      </c>
      <c r="J68" s="0" t="s">
        <v>731</v>
      </c>
      <c r="K68" s="0" t="s">
        <v>138</v>
      </c>
      <c r="L68" s="0" t="n">
        <v>14</v>
      </c>
      <c r="M68" s="0" t="str">
        <f aca="false">IF($L68&gt;17,"ICU","GMF")</f>
        <v>GMF</v>
      </c>
      <c r="N68" s="0" t="s">
        <v>872</v>
      </c>
      <c r="Q68" s="0" t="s">
        <v>856</v>
      </c>
      <c r="R68" s="49" t="s">
        <v>949</v>
      </c>
      <c r="S68" s="40" t="s">
        <v>138</v>
      </c>
      <c r="T68" s="40" t="s">
        <v>138</v>
      </c>
      <c r="U68" s="50" t="s">
        <v>138</v>
      </c>
      <c r="W68" s="0" t="s">
        <v>859</v>
      </c>
      <c r="X68" s="0" t="s">
        <v>731</v>
      </c>
    </row>
    <row r="69" customFormat="false" ht="36.5" hidden="false" customHeight="false" outlineLevel="0" collapsed="false">
      <c r="A69" s="3" t="s">
        <v>171</v>
      </c>
      <c r="B69" s="3" t="s">
        <v>866</v>
      </c>
      <c r="C69" s="0" t="s">
        <v>883</v>
      </c>
      <c r="D69" s="0" t="n">
        <v>61</v>
      </c>
      <c r="E69" s="0" t="n">
        <v>98</v>
      </c>
      <c r="F69" s="0" t="n">
        <v>112</v>
      </c>
      <c r="G69" s="0" t="n">
        <v>15</v>
      </c>
      <c r="H69" s="0" t="s">
        <v>138</v>
      </c>
      <c r="I69" s="0" t="s">
        <v>138</v>
      </c>
      <c r="J69" s="0" t="s">
        <v>731</v>
      </c>
      <c r="K69" s="0" t="s">
        <v>138</v>
      </c>
      <c r="L69" s="0" t="n">
        <v>17</v>
      </c>
      <c r="M69" s="0" t="str">
        <f aca="false">IF($L69&gt;17,"ICU","GMF")</f>
        <v>GMF</v>
      </c>
      <c r="N69" s="0" t="s">
        <v>872</v>
      </c>
      <c r="Q69" s="0" t="s">
        <v>856</v>
      </c>
      <c r="R69" s="34" t="s">
        <v>950</v>
      </c>
      <c r="S69" s="40" t="s">
        <v>138</v>
      </c>
      <c r="T69" s="40" t="s">
        <v>138</v>
      </c>
      <c r="U69" s="34" t="s">
        <v>138</v>
      </c>
      <c r="W69" s="0" t="s">
        <v>864</v>
      </c>
      <c r="X69" s="0" t="s">
        <v>731</v>
      </c>
    </row>
    <row r="70" customFormat="false" ht="15" hidden="false" customHeight="false" outlineLevel="0" collapsed="false">
      <c r="A70" s="3" t="s">
        <v>56</v>
      </c>
      <c r="B70" s="3" t="s">
        <v>853</v>
      </c>
      <c r="C70" s="0" t="s">
        <v>879</v>
      </c>
      <c r="D70" s="0" t="n">
        <v>66</v>
      </c>
      <c r="E70" s="0" t="n">
        <v>73</v>
      </c>
      <c r="F70" s="0" t="n">
        <v>143</v>
      </c>
      <c r="G70" s="0" t="n">
        <v>15</v>
      </c>
      <c r="H70" s="0" t="s">
        <v>138</v>
      </c>
      <c r="I70" s="0" t="s">
        <v>138</v>
      </c>
      <c r="J70" s="0" t="s">
        <v>138</v>
      </c>
      <c r="K70" s="0" t="s">
        <v>138</v>
      </c>
      <c r="L70" s="0" t="n">
        <v>9</v>
      </c>
      <c r="M70" s="0" t="str">
        <f aca="false">IF($L70&gt;17,"ICU","GMF")</f>
        <v>GMF</v>
      </c>
      <c r="N70" s="0" t="s">
        <v>872</v>
      </c>
      <c r="Q70" s="0" t="s">
        <v>856</v>
      </c>
      <c r="R70" s="34" t="s">
        <v>951</v>
      </c>
      <c r="S70" s="40" t="s">
        <v>138</v>
      </c>
      <c r="T70" s="40" t="s">
        <v>138</v>
      </c>
      <c r="U70" s="50" t="s">
        <v>138</v>
      </c>
      <c r="V70" s="0" t="s">
        <v>952</v>
      </c>
      <c r="W70" s="0" t="s">
        <v>859</v>
      </c>
      <c r="X70" s="0" t="s">
        <v>731</v>
      </c>
    </row>
    <row r="71" customFormat="false" ht="15" hidden="false" customHeight="false" outlineLevel="0" collapsed="false">
      <c r="B71" s="0" t="s">
        <v>853</v>
      </c>
      <c r="C71" s="0" t="s">
        <v>871</v>
      </c>
      <c r="D71" s="0" t="n">
        <v>66</v>
      </c>
      <c r="E71" s="0" t="n">
        <v>69</v>
      </c>
      <c r="F71" s="0" t="n">
        <v>91</v>
      </c>
      <c r="G71" s="0" t="n">
        <v>15</v>
      </c>
      <c r="H71" s="0" t="s">
        <v>138</v>
      </c>
      <c r="I71" s="0" t="s">
        <v>138</v>
      </c>
      <c r="J71" s="0" t="s">
        <v>138</v>
      </c>
      <c r="K71" s="0" t="s">
        <v>138</v>
      </c>
      <c r="L71" s="0" t="n">
        <v>14</v>
      </c>
      <c r="M71" s="0" t="str">
        <f aca="false">IF($L71&gt;17,"ICU","GMF")</f>
        <v>GMF</v>
      </c>
      <c r="N71" s="0" t="s">
        <v>872</v>
      </c>
      <c r="Q71" s="0" t="s">
        <v>856</v>
      </c>
      <c r="R71" s="34" t="s">
        <v>953</v>
      </c>
      <c r="S71" s="34" t="s">
        <v>138</v>
      </c>
      <c r="T71" s="34" t="s">
        <v>138</v>
      </c>
      <c r="U71" s="34" t="s">
        <v>138</v>
      </c>
      <c r="W71" s="0" t="s">
        <v>864</v>
      </c>
      <c r="X71" s="0" t="s">
        <v>731</v>
      </c>
    </row>
    <row r="72" customFormat="false" ht="15" hidden="false" customHeight="false" outlineLevel="0" collapsed="false">
      <c r="A72" s="3" t="s">
        <v>400</v>
      </c>
      <c r="B72" s="3" t="s">
        <v>866</v>
      </c>
      <c r="C72" s="0" t="s">
        <v>875</v>
      </c>
      <c r="D72" s="0" t="n">
        <v>68</v>
      </c>
      <c r="E72" s="0" t="n">
        <v>101</v>
      </c>
      <c r="F72" s="0" t="n">
        <v>167</v>
      </c>
      <c r="G72" s="0" t="n">
        <v>15</v>
      </c>
      <c r="H72" s="0" t="s">
        <v>731</v>
      </c>
      <c r="I72" s="0" t="s">
        <v>138</v>
      </c>
      <c r="J72" s="0" t="s">
        <v>731</v>
      </c>
      <c r="K72" s="0" t="s">
        <v>138</v>
      </c>
      <c r="L72" s="0" t="n">
        <v>17</v>
      </c>
      <c r="M72" s="0" t="str">
        <f aca="false">IF($L72&gt;17,"ICU","GMF")</f>
        <v>GMF</v>
      </c>
      <c r="N72" s="0" t="s">
        <v>872</v>
      </c>
      <c r="Q72" s="0" t="s">
        <v>856</v>
      </c>
      <c r="R72" s="34" t="s">
        <v>954</v>
      </c>
      <c r="S72" s="34" t="s">
        <v>138</v>
      </c>
      <c r="T72" s="34" t="s">
        <v>138</v>
      </c>
      <c r="U72" s="34" t="s">
        <v>138</v>
      </c>
      <c r="W72" s="0" t="s">
        <v>864</v>
      </c>
      <c r="X72" s="0" t="s">
        <v>731</v>
      </c>
    </row>
    <row r="73" customFormat="false" ht="15" hidden="false" customHeight="false" outlineLevel="0" collapsed="false">
      <c r="A73" s="0" t="s">
        <v>797</v>
      </c>
      <c r="B73" s="0" t="s">
        <v>866</v>
      </c>
      <c r="C73" s="0" t="s">
        <v>862</v>
      </c>
      <c r="D73" s="0" t="n">
        <v>72</v>
      </c>
      <c r="E73" s="0" t="n">
        <v>90</v>
      </c>
      <c r="F73" s="0" t="n">
        <v>96</v>
      </c>
      <c r="G73" s="0" t="n">
        <v>15</v>
      </c>
      <c r="H73" s="0" t="s">
        <v>138</v>
      </c>
      <c r="I73" s="0" t="s">
        <v>138</v>
      </c>
      <c r="J73" s="0" t="s">
        <v>138</v>
      </c>
      <c r="K73" s="0" t="s">
        <v>138</v>
      </c>
      <c r="L73" s="0" t="n">
        <v>17</v>
      </c>
      <c r="M73" s="0" t="str">
        <f aca="false">IF($L73&gt;17,"ICU","GMF")</f>
        <v>GMF</v>
      </c>
      <c r="N73" s="0" t="s">
        <v>872</v>
      </c>
      <c r="Q73" s="0" t="s">
        <v>856</v>
      </c>
      <c r="R73" s="34" t="s">
        <v>313</v>
      </c>
      <c r="S73" s="34" t="s">
        <v>138</v>
      </c>
      <c r="T73" s="34" t="s">
        <v>138</v>
      </c>
      <c r="U73" s="49" t="s">
        <v>138</v>
      </c>
      <c r="W73" s="0" t="s">
        <v>859</v>
      </c>
      <c r="X73" s="0" t="s">
        <v>731</v>
      </c>
    </row>
    <row r="74" customFormat="false" ht="25" hidden="false" customHeight="false" outlineLevel="0" collapsed="false">
      <c r="B74" s="0" t="s">
        <v>853</v>
      </c>
      <c r="C74" s="0" t="s">
        <v>883</v>
      </c>
      <c r="D74" s="0" t="n">
        <v>72</v>
      </c>
      <c r="E74" s="0" t="n">
        <v>55</v>
      </c>
      <c r="F74" s="0" t="n">
        <v>93</v>
      </c>
      <c r="G74" s="0" t="n">
        <v>15</v>
      </c>
      <c r="H74" s="0" t="s">
        <v>138</v>
      </c>
      <c r="I74" s="0" t="s">
        <v>138</v>
      </c>
      <c r="J74" s="0" t="s">
        <v>138</v>
      </c>
      <c r="K74" s="0" t="s">
        <v>138</v>
      </c>
      <c r="L74" s="0" t="n">
        <v>16</v>
      </c>
      <c r="M74" s="0" t="str">
        <f aca="false">IF($L74&gt;17,"ICU","GMF")</f>
        <v>GMF</v>
      </c>
      <c r="N74" s="0" t="s">
        <v>872</v>
      </c>
      <c r="Q74" s="0" t="s">
        <v>856</v>
      </c>
      <c r="R74" s="34" t="s">
        <v>431</v>
      </c>
      <c r="S74" s="34" t="s">
        <v>138</v>
      </c>
      <c r="T74" s="34" t="s">
        <v>138</v>
      </c>
      <c r="U74" s="34" t="s">
        <v>138</v>
      </c>
      <c r="W74" s="0" t="s">
        <v>859</v>
      </c>
      <c r="X74" s="0" t="s">
        <v>731</v>
      </c>
    </row>
    <row r="75" customFormat="false" ht="15" hidden="false" customHeight="false" outlineLevel="0" collapsed="false">
      <c r="B75" s="0" t="s">
        <v>853</v>
      </c>
      <c r="C75" s="0" t="s">
        <v>867</v>
      </c>
      <c r="D75" s="0" t="n">
        <v>73</v>
      </c>
      <c r="E75" s="0" t="n">
        <v>58</v>
      </c>
      <c r="F75" s="0" t="n">
        <v>96</v>
      </c>
      <c r="G75" s="0" t="n">
        <v>15</v>
      </c>
      <c r="H75" s="0" t="s">
        <v>138</v>
      </c>
      <c r="I75" s="0" t="s">
        <v>138</v>
      </c>
      <c r="J75" s="0" t="s">
        <v>138</v>
      </c>
      <c r="K75" s="0" t="s">
        <v>138</v>
      </c>
      <c r="L75" s="0" t="n">
        <v>13</v>
      </c>
      <c r="M75" s="0" t="str">
        <f aca="false">IF($L75&gt;17,"ICU","GMF")</f>
        <v>GMF</v>
      </c>
      <c r="N75" s="0" t="s">
        <v>872</v>
      </c>
      <c r="Q75" s="0" t="s">
        <v>856</v>
      </c>
      <c r="R75" s="49" t="s">
        <v>955</v>
      </c>
      <c r="S75" s="34" t="s">
        <v>138</v>
      </c>
      <c r="T75" s="34" t="s">
        <v>138</v>
      </c>
      <c r="U75" s="34" t="s">
        <v>138</v>
      </c>
      <c r="V75" s="0" t="s">
        <v>886</v>
      </c>
      <c r="W75" s="0" t="s">
        <v>859</v>
      </c>
      <c r="X75" s="0" t="s">
        <v>731</v>
      </c>
    </row>
    <row r="76" customFormat="false" ht="15" hidden="false" customHeight="false" outlineLevel="0" collapsed="false">
      <c r="B76" s="0" t="s">
        <v>866</v>
      </c>
      <c r="C76" s="0" t="s">
        <v>875</v>
      </c>
      <c r="D76" s="0" t="n">
        <v>80</v>
      </c>
      <c r="E76" s="0" t="n">
        <v>71</v>
      </c>
      <c r="F76" s="0" t="n">
        <v>158</v>
      </c>
      <c r="G76" s="0" t="n">
        <v>15</v>
      </c>
      <c r="H76" s="0" t="s">
        <v>731</v>
      </c>
      <c r="I76" s="0" t="s">
        <v>138</v>
      </c>
      <c r="J76" s="0" t="s">
        <v>138</v>
      </c>
      <c r="K76" s="0" t="s">
        <v>138</v>
      </c>
      <c r="L76" s="0" t="n">
        <v>9</v>
      </c>
      <c r="M76" s="0" t="str">
        <f aca="false">IF($L76&gt;17,"ICU","GMF")</f>
        <v>GMF</v>
      </c>
      <c r="N76" s="0" t="s">
        <v>872</v>
      </c>
      <c r="Q76" s="0" t="s">
        <v>856</v>
      </c>
      <c r="R76" s="34" t="s">
        <v>943</v>
      </c>
      <c r="S76" s="34" t="s">
        <v>138</v>
      </c>
      <c r="T76" s="34" t="s">
        <v>138</v>
      </c>
      <c r="U76" s="34" t="s">
        <v>138</v>
      </c>
      <c r="V76" s="0" t="s">
        <v>956</v>
      </c>
      <c r="W76" s="0" t="s">
        <v>859</v>
      </c>
      <c r="X76" s="0" t="s">
        <v>731</v>
      </c>
    </row>
    <row r="77" customFormat="false" ht="15" hidden="false" customHeight="false" outlineLevel="0" collapsed="false">
      <c r="A77" s="3" t="s">
        <v>353</v>
      </c>
      <c r="B77" s="3" t="s">
        <v>853</v>
      </c>
      <c r="C77" s="0" t="s">
        <v>862</v>
      </c>
      <c r="D77" s="0" t="n">
        <v>15</v>
      </c>
      <c r="E77" s="0" t="n">
        <v>92</v>
      </c>
      <c r="F77" s="0" t="n">
        <v>108</v>
      </c>
      <c r="G77" s="0" t="n">
        <v>15</v>
      </c>
      <c r="H77" s="0" t="s">
        <v>138</v>
      </c>
      <c r="I77" s="0" t="s">
        <v>138</v>
      </c>
      <c r="J77" s="0" t="s">
        <v>138</v>
      </c>
      <c r="K77" s="0" t="s">
        <v>138</v>
      </c>
      <c r="L77" s="0" t="n">
        <v>5</v>
      </c>
      <c r="M77" s="0" t="str">
        <f aca="false">IF($L77&gt;17,"ICU","GMF")</f>
        <v>GMF</v>
      </c>
      <c r="N77" s="0" t="s">
        <v>855</v>
      </c>
      <c r="Q77" s="0" t="s">
        <v>855</v>
      </c>
      <c r="R77" s="34" t="s">
        <v>178</v>
      </c>
      <c r="S77" s="34" t="s">
        <v>138</v>
      </c>
      <c r="T77" s="34" t="s">
        <v>138</v>
      </c>
      <c r="U77" s="34" t="s">
        <v>138</v>
      </c>
      <c r="V77" s="0" t="s">
        <v>957</v>
      </c>
      <c r="W77" s="0" t="s">
        <v>864</v>
      </c>
      <c r="X77" s="0" t="s">
        <v>731</v>
      </c>
    </row>
    <row r="78" customFormat="false" ht="15" hidden="false" customHeight="false" outlineLevel="0" collapsed="false">
      <c r="B78" s="0" t="s">
        <v>866</v>
      </c>
      <c r="C78" s="0" t="s">
        <v>865</v>
      </c>
      <c r="D78" s="0" t="n">
        <v>16</v>
      </c>
      <c r="E78" s="0" t="n">
        <v>66</v>
      </c>
      <c r="F78" s="0" t="n">
        <v>121</v>
      </c>
      <c r="G78" s="0" t="n">
        <v>10</v>
      </c>
      <c r="H78" s="0" t="s">
        <v>731</v>
      </c>
      <c r="I78" s="0" t="s">
        <v>138</v>
      </c>
      <c r="J78" s="0" t="s">
        <v>138</v>
      </c>
      <c r="K78" s="0" t="s">
        <v>138</v>
      </c>
      <c r="L78" s="0" t="n">
        <v>6</v>
      </c>
      <c r="M78" s="0" t="str">
        <f aca="false">IF($L78&gt;17,"ICU","GMF")</f>
        <v>GMF</v>
      </c>
      <c r="N78" s="0" t="s">
        <v>855</v>
      </c>
      <c r="Q78" s="0" t="s">
        <v>855</v>
      </c>
      <c r="R78" s="34" t="s">
        <v>958</v>
      </c>
      <c r="S78" s="34" t="s">
        <v>138</v>
      </c>
      <c r="T78" s="34" t="s">
        <v>138</v>
      </c>
      <c r="U78" s="34" t="s">
        <v>138</v>
      </c>
      <c r="V78" s="0" t="s">
        <v>886</v>
      </c>
      <c r="W78" s="0" t="s">
        <v>864</v>
      </c>
      <c r="X78" s="0" t="s">
        <v>731</v>
      </c>
    </row>
    <row r="79" customFormat="false" ht="25" hidden="false" customHeight="false" outlineLevel="0" collapsed="false">
      <c r="A79" s="3" t="s">
        <v>220</v>
      </c>
      <c r="B79" s="3" t="s">
        <v>853</v>
      </c>
      <c r="C79" s="0" t="s">
        <v>883</v>
      </c>
      <c r="D79" s="0" t="n">
        <v>24</v>
      </c>
      <c r="E79" s="0" t="n">
        <v>106</v>
      </c>
      <c r="F79" s="0" t="n">
        <v>117</v>
      </c>
      <c r="G79" s="0" t="n">
        <v>15</v>
      </c>
      <c r="H79" s="0" t="s">
        <v>731</v>
      </c>
      <c r="I79" s="0" t="s">
        <v>138</v>
      </c>
      <c r="J79" s="0" t="s">
        <v>731</v>
      </c>
      <c r="K79" s="0" t="s">
        <v>138</v>
      </c>
      <c r="L79" s="0" t="n">
        <v>18</v>
      </c>
      <c r="M79" s="0" t="str">
        <f aca="false">IF($L79&gt;17,"ICU","GMF")</f>
        <v>ICU</v>
      </c>
      <c r="N79" s="0" t="s">
        <v>872</v>
      </c>
      <c r="Q79" s="0" t="s">
        <v>855</v>
      </c>
      <c r="R79" s="34" t="s">
        <v>219</v>
      </c>
      <c r="S79" s="34" t="s">
        <v>138</v>
      </c>
      <c r="T79" s="34" t="s">
        <v>138</v>
      </c>
      <c r="U79" s="34" t="s">
        <v>138</v>
      </c>
      <c r="V79" s="34" t="s">
        <v>874</v>
      </c>
      <c r="W79" s="0" t="s">
        <v>864</v>
      </c>
      <c r="X79" s="0" t="s">
        <v>731</v>
      </c>
    </row>
    <row r="80" customFormat="false" ht="15" hidden="false" customHeight="false" outlineLevel="0" collapsed="false">
      <c r="B80" s="0" t="s">
        <v>853</v>
      </c>
      <c r="C80" s="0" t="s">
        <v>883</v>
      </c>
      <c r="D80" s="0" t="n">
        <v>29</v>
      </c>
      <c r="E80" s="0" t="n">
        <v>114</v>
      </c>
      <c r="F80" s="0" t="n">
        <v>129</v>
      </c>
      <c r="G80" s="0" t="n">
        <v>15</v>
      </c>
      <c r="H80" s="0" t="s">
        <v>138</v>
      </c>
      <c r="I80" s="0" t="s">
        <v>138</v>
      </c>
      <c r="J80" s="0" t="s">
        <v>731</v>
      </c>
      <c r="K80" s="0" t="s">
        <v>138</v>
      </c>
      <c r="L80" s="0" t="n">
        <v>11</v>
      </c>
      <c r="M80" s="0" t="str">
        <f aca="false">IF($L80&gt;17,"ICU","GMF")</f>
        <v>GMF</v>
      </c>
      <c r="N80" s="0" t="s">
        <v>872</v>
      </c>
      <c r="Q80" s="0" t="s">
        <v>855</v>
      </c>
      <c r="R80" s="34" t="s">
        <v>959</v>
      </c>
      <c r="V80" s="0" t="s">
        <v>886</v>
      </c>
      <c r="W80" s="0" t="s">
        <v>864</v>
      </c>
      <c r="X80" s="0" t="s">
        <v>731</v>
      </c>
    </row>
    <row r="81" customFormat="false" ht="15" hidden="false" customHeight="false" outlineLevel="0" collapsed="false">
      <c r="A81" s="3" t="s">
        <v>144</v>
      </c>
      <c r="B81" s="3" t="s">
        <v>866</v>
      </c>
      <c r="C81" s="0" t="s">
        <v>854</v>
      </c>
      <c r="D81" s="0" t="n">
        <v>31</v>
      </c>
      <c r="E81" s="0" t="n">
        <v>153</v>
      </c>
      <c r="F81" s="0" t="n">
        <v>140</v>
      </c>
      <c r="G81" s="0" t="n">
        <v>15</v>
      </c>
      <c r="H81" s="0" t="s">
        <v>138</v>
      </c>
      <c r="I81" s="0" t="s">
        <v>138</v>
      </c>
      <c r="J81" s="0" t="s">
        <v>731</v>
      </c>
      <c r="K81" s="0" t="s">
        <v>138</v>
      </c>
      <c r="L81" s="0" t="n">
        <v>9</v>
      </c>
      <c r="M81" s="0" t="str">
        <f aca="false">IF($L81&gt;17,"ICU","GMF")</f>
        <v>GMF</v>
      </c>
      <c r="N81" s="0" t="s">
        <v>872</v>
      </c>
      <c r="Q81" s="0" t="s">
        <v>855</v>
      </c>
      <c r="S81" s="40" t="s">
        <v>138</v>
      </c>
      <c r="T81" s="40" t="s">
        <v>138</v>
      </c>
      <c r="U81" s="34" t="s">
        <v>138</v>
      </c>
      <c r="W81" s="0" t="s">
        <v>870</v>
      </c>
      <c r="X81" s="0" t="s">
        <v>731</v>
      </c>
    </row>
    <row r="82" customFormat="false" ht="15" hidden="false" customHeight="false" outlineLevel="0" collapsed="false">
      <c r="B82" s="0" t="s">
        <v>853</v>
      </c>
      <c r="C82" s="0" t="s">
        <v>871</v>
      </c>
      <c r="D82" s="0" t="n">
        <v>33</v>
      </c>
      <c r="E82" s="0" t="n">
        <v>128</v>
      </c>
      <c r="F82" s="0" t="n">
        <v>114</v>
      </c>
      <c r="G82" s="0" t="n">
        <v>15</v>
      </c>
      <c r="H82" s="0" t="s">
        <v>138</v>
      </c>
      <c r="I82" s="0" t="s">
        <v>138</v>
      </c>
      <c r="J82" s="0" t="s">
        <v>731</v>
      </c>
      <c r="K82" s="0" t="s">
        <v>138</v>
      </c>
      <c r="L82" s="0" t="n">
        <v>12</v>
      </c>
      <c r="M82" s="0" t="str">
        <f aca="false">IF($L82&gt;17,"ICU","GMF")</f>
        <v>GMF</v>
      </c>
      <c r="N82" s="0" t="s">
        <v>872</v>
      </c>
      <c r="Q82" s="0" t="s">
        <v>855</v>
      </c>
      <c r="R82" s="34" t="s">
        <v>949</v>
      </c>
      <c r="S82" s="34" t="s">
        <v>138</v>
      </c>
      <c r="T82" s="34" t="s">
        <v>138</v>
      </c>
      <c r="U82" s="34" t="s">
        <v>138</v>
      </c>
      <c r="W82" s="0" t="s">
        <v>859</v>
      </c>
      <c r="X82" s="0" t="s">
        <v>731</v>
      </c>
    </row>
    <row r="83" customFormat="false" ht="48" hidden="false" customHeight="false" outlineLevel="0" collapsed="false">
      <c r="A83" s="3" t="s">
        <v>294</v>
      </c>
      <c r="B83" s="3" t="s">
        <v>853</v>
      </c>
      <c r="C83" s="0" t="s">
        <v>854</v>
      </c>
      <c r="D83" s="0" t="n">
        <v>34</v>
      </c>
      <c r="E83" s="0" t="n">
        <v>132</v>
      </c>
      <c r="F83" s="0" t="n">
        <v>110</v>
      </c>
      <c r="G83" s="0" t="n">
        <v>15</v>
      </c>
      <c r="H83" s="0" t="s">
        <v>138</v>
      </c>
      <c r="I83" s="0" t="s">
        <v>138</v>
      </c>
      <c r="J83" s="0" t="s">
        <v>731</v>
      </c>
      <c r="K83" s="0" t="s">
        <v>138</v>
      </c>
      <c r="L83" s="0" t="n">
        <v>13</v>
      </c>
      <c r="M83" s="0" t="str">
        <f aca="false">IF($L83&gt;17,"ICU","GMF")</f>
        <v>GMF</v>
      </c>
      <c r="N83" s="0" t="s">
        <v>872</v>
      </c>
      <c r="Q83" s="0" t="s">
        <v>855</v>
      </c>
      <c r="R83" s="49" t="s">
        <v>960</v>
      </c>
      <c r="S83" s="34" t="s">
        <v>138</v>
      </c>
      <c r="T83" s="34" t="s">
        <v>138</v>
      </c>
      <c r="U83" s="34" t="s">
        <v>138</v>
      </c>
      <c r="V83" s="34" t="s">
        <v>961</v>
      </c>
      <c r="W83" s="0" t="s">
        <v>859</v>
      </c>
      <c r="X83" s="0" t="s">
        <v>138</v>
      </c>
    </row>
    <row r="84" customFormat="false" ht="15" hidden="false" customHeight="false" outlineLevel="0" collapsed="false">
      <c r="A84" s="3" t="s">
        <v>252</v>
      </c>
      <c r="B84" s="3" t="s">
        <v>853</v>
      </c>
      <c r="C84" s="0" t="s">
        <v>862</v>
      </c>
      <c r="D84" s="0" t="n">
        <v>35</v>
      </c>
      <c r="E84" s="0" t="n">
        <v>64</v>
      </c>
      <c r="F84" s="0" t="n">
        <v>119</v>
      </c>
      <c r="G84" s="0" t="n">
        <v>15</v>
      </c>
      <c r="H84" s="0" t="s">
        <v>138</v>
      </c>
      <c r="I84" s="0" t="s">
        <v>138</v>
      </c>
      <c r="J84" s="0" t="s">
        <v>138</v>
      </c>
      <c r="K84" s="0" t="s">
        <v>138</v>
      </c>
      <c r="L84" s="0" t="n">
        <v>6</v>
      </c>
      <c r="M84" s="0" t="str">
        <f aca="false">IF($L84&gt;17,"ICU","GMF")</f>
        <v>GMF</v>
      </c>
      <c r="N84" s="0" t="s">
        <v>855</v>
      </c>
      <c r="Q84" s="0" t="s">
        <v>855</v>
      </c>
      <c r="R84" s="49" t="s">
        <v>178</v>
      </c>
      <c r="S84" s="34" t="s">
        <v>138</v>
      </c>
      <c r="T84" s="34" t="s">
        <v>138</v>
      </c>
      <c r="U84" s="34" t="s">
        <v>138</v>
      </c>
      <c r="W84" s="0" t="s">
        <v>864</v>
      </c>
      <c r="X84" s="0" t="s">
        <v>731</v>
      </c>
    </row>
    <row r="85" customFormat="false" ht="25" hidden="false" customHeight="false" outlineLevel="0" collapsed="false">
      <c r="B85" s="0" t="s">
        <v>866</v>
      </c>
      <c r="C85" s="0" t="s">
        <v>879</v>
      </c>
      <c r="D85" s="0" t="n">
        <v>44</v>
      </c>
      <c r="E85" s="0" t="n">
        <v>117</v>
      </c>
      <c r="F85" s="0" t="n">
        <v>122</v>
      </c>
      <c r="G85" s="0" t="n">
        <v>15</v>
      </c>
      <c r="H85" s="0" t="s">
        <v>138</v>
      </c>
      <c r="I85" s="0" t="s">
        <v>138</v>
      </c>
      <c r="J85" s="0" t="s">
        <v>731</v>
      </c>
      <c r="K85" s="0" t="s">
        <v>138</v>
      </c>
      <c r="L85" s="0" t="n">
        <v>15</v>
      </c>
      <c r="M85" s="0" t="str">
        <f aca="false">IF($L85&gt;17,"ICU","GMF")</f>
        <v>GMF</v>
      </c>
      <c r="N85" s="0" t="s">
        <v>872</v>
      </c>
      <c r="Q85" s="0" t="s">
        <v>855</v>
      </c>
      <c r="R85" s="34" t="s">
        <v>962</v>
      </c>
      <c r="S85" s="34" t="s">
        <v>138</v>
      </c>
      <c r="T85" s="34" t="s">
        <v>138</v>
      </c>
      <c r="U85" s="34" t="s">
        <v>138</v>
      </c>
      <c r="V85" s="0" t="s">
        <v>963</v>
      </c>
      <c r="W85" s="0" t="s">
        <v>864</v>
      </c>
      <c r="X85" s="0" t="s">
        <v>731</v>
      </c>
    </row>
    <row r="86" customFormat="false" ht="15" hidden="false" customHeight="false" outlineLevel="0" collapsed="false">
      <c r="A86" s="3" t="s">
        <v>162</v>
      </c>
      <c r="B86" s="3" t="s">
        <v>853</v>
      </c>
      <c r="C86" s="0" t="s">
        <v>879</v>
      </c>
      <c r="D86" s="0" t="n">
        <v>47</v>
      </c>
      <c r="E86" s="0" t="n">
        <v>98</v>
      </c>
      <c r="F86" s="0" t="n">
        <v>134</v>
      </c>
      <c r="G86" s="0" t="n">
        <v>11</v>
      </c>
      <c r="H86" s="0" t="s">
        <v>138</v>
      </c>
      <c r="I86" s="0" t="s">
        <v>138</v>
      </c>
      <c r="J86" s="0" t="s">
        <v>138</v>
      </c>
      <c r="K86" s="0" t="s">
        <v>138</v>
      </c>
      <c r="L86" s="0" t="n">
        <v>13</v>
      </c>
      <c r="M86" s="0" t="str">
        <f aca="false">IF($L86&gt;17,"ICU","GMF")</f>
        <v>GMF</v>
      </c>
      <c r="N86" s="0" t="s">
        <v>872</v>
      </c>
      <c r="Q86" s="0" t="s">
        <v>855</v>
      </c>
      <c r="R86" s="49" t="s">
        <v>964</v>
      </c>
      <c r="S86" s="40" t="s">
        <v>138</v>
      </c>
      <c r="T86" s="40" t="s">
        <v>138</v>
      </c>
      <c r="U86" s="34" t="s">
        <v>138</v>
      </c>
      <c r="V86" s="0" t="s">
        <v>965</v>
      </c>
      <c r="W86" s="0" t="s">
        <v>870</v>
      </c>
      <c r="X86" s="0" t="s">
        <v>731</v>
      </c>
    </row>
    <row r="87" customFormat="false" ht="25" hidden="false" customHeight="false" outlineLevel="0" collapsed="false">
      <c r="A87" s="3" t="s">
        <v>280</v>
      </c>
      <c r="B87" s="3" t="s">
        <v>866</v>
      </c>
      <c r="C87" s="0" t="s">
        <v>871</v>
      </c>
      <c r="D87" s="0" t="n">
        <v>50</v>
      </c>
      <c r="E87" s="0" t="n">
        <v>56</v>
      </c>
      <c r="F87" s="0" t="n">
        <v>120</v>
      </c>
      <c r="G87" s="0" t="n">
        <v>15</v>
      </c>
      <c r="H87" s="0" t="s">
        <v>138</v>
      </c>
      <c r="I87" s="0" t="s">
        <v>731</v>
      </c>
      <c r="J87" s="0" t="s">
        <v>138</v>
      </c>
      <c r="K87" s="0" t="s">
        <v>138</v>
      </c>
      <c r="L87" s="0" t="n">
        <v>13</v>
      </c>
      <c r="M87" s="0" t="str">
        <f aca="false">IF($L87&gt;17,"ICU","GMF")</f>
        <v>GMF</v>
      </c>
      <c r="N87" s="0" t="s">
        <v>872</v>
      </c>
      <c r="Q87" s="0" t="s">
        <v>855</v>
      </c>
      <c r="R87" s="34" t="s">
        <v>966</v>
      </c>
      <c r="S87" s="34" t="s">
        <v>138</v>
      </c>
      <c r="T87" s="34" t="s">
        <v>138</v>
      </c>
      <c r="U87" s="34" t="s">
        <v>138</v>
      </c>
      <c r="V87" s="34" t="s">
        <v>967</v>
      </c>
      <c r="W87" s="0" t="s">
        <v>864</v>
      </c>
      <c r="X87" s="0" t="s">
        <v>731</v>
      </c>
    </row>
    <row r="88" customFormat="false" ht="15" hidden="false" customHeight="false" outlineLevel="0" collapsed="false">
      <c r="A88" s="3" t="s">
        <v>208</v>
      </c>
      <c r="B88" s="3" t="s">
        <v>866</v>
      </c>
      <c r="C88" s="0" t="s">
        <v>871</v>
      </c>
      <c r="D88" s="0" t="n">
        <v>51</v>
      </c>
      <c r="E88" s="0" t="n">
        <v>93</v>
      </c>
      <c r="F88" s="0" t="n">
        <v>169</v>
      </c>
      <c r="G88" s="0" t="n">
        <v>15</v>
      </c>
      <c r="H88" s="0" t="s">
        <v>138</v>
      </c>
      <c r="I88" s="0" t="s">
        <v>138</v>
      </c>
      <c r="J88" s="0" t="s">
        <v>138</v>
      </c>
      <c r="K88" s="0" t="s">
        <v>138</v>
      </c>
      <c r="L88" s="0" t="n">
        <v>5</v>
      </c>
      <c r="M88" s="0" t="str">
        <f aca="false">IF($L88&gt;17,"ICU","GMF")</f>
        <v>GMF</v>
      </c>
      <c r="N88" s="0" t="s">
        <v>855</v>
      </c>
      <c r="Q88" s="0" t="s">
        <v>855</v>
      </c>
      <c r="R88" s="34" t="s">
        <v>966</v>
      </c>
      <c r="S88" s="34" t="s">
        <v>138</v>
      </c>
      <c r="T88" s="34" t="s">
        <v>138</v>
      </c>
      <c r="U88" s="34" t="s">
        <v>138</v>
      </c>
      <c r="W88" s="0" t="s">
        <v>864</v>
      </c>
      <c r="X88" s="0" t="s">
        <v>731</v>
      </c>
    </row>
    <row r="89" customFormat="false" ht="15" hidden="false" customHeight="false" outlineLevel="0" collapsed="false">
      <c r="A89" s="3" t="s">
        <v>108</v>
      </c>
      <c r="B89" s="3" t="s">
        <v>853</v>
      </c>
      <c r="C89" s="0" t="s">
        <v>867</v>
      </c>
      <c r="D89" s="0" t="n">
        <v>55</v>
      </c>
      <c r="E89" s="0" t="n">
        <v>101</v>
      </c>
      <c r="F89" s="0" t="n">
        <v>176</v>
      </c>
      <c r="G89" s="0" t="n">
        <v>15</v>
      </c>
      <c r="H89" s="0" t="s">
        <v>138</v>
      </c>
      <c r="I89" s="0" t="s">
        <v>138</v>
      </c>
      <c r="J89" s="0" t="s">
        <v>731</v>
      </c>
      <c r="K89" s="0" t="s">
        <v>138</v>
      </c>
      <c r="L89" s="0" t="n">
        <v>12</v>
      </c>
      <c r="M89" s="0" t="str">
        <f aca="false">IF($L89&gt;17,"ICU","GMF")</f>
        <v>GMF</v>
      </c>
      <c r="N89" s="0" t="s">
        <v>872</v>
      </c>
      <c r="Q89" s="0" t="s">
        <v>855</v>
      </c>
      <c r="S89" s="40" t="s">
        <v>138</v>
      </c>
      <c r="T89" s="40" t="s">
        <v>138</v>
      </c>
      <c r="U89" s="34" t="s">
        <v>138</v>
      </c>
      <c r="W89" s="0" t="s">
        <v>870</v>
      </c>
      <c r="X89" s="0" t="s">
        <v>138</v>
      </c>
    </row>
    <row r="90" customFormat="false" ht="48" hidden="false" customHeight="false" outlineLevel="0" collapsed="false">
      <c r="B90" s="0" t="s">
        <v>853</v>
      </c>
      <c r="C90" s="0" t="s">
        <v>883</v>
      </c>
      <c r="D90" s="0" t="n">
        <v>58</v>
      </c>
      <c r="E90" s="0" t="n">
        <v>73</v>
      </c>
      <c r="F90" s="0" t="n">
        <v>131</v>
      </c>
      <c r="G90" s="0" t="n">
        <v>15</v>
      </c>
      <c r="H90" s="0" t="s">
        <v>138</v>
      </c>
      <c r="I90" s="0" t="s">
        <v>138</v>
      </c>
      <c r="J90" s="0" t="s">
        <v>138</v>
      </c>
      <c r="K90" s="0" t="s">
        <v>138</v>
      </c>
      <c r="L90" s="0" t="n">
        <v>7</v>
      </c>
      <c r="M90" s="0" t="str">
        <f aca="false">IF($L90&gt;17,"ICU","GMF")</f>
        <v>GMF</v>
      </c>
      <c r="N90" s="0" t="s">
        <v>872</v>
      </c>
      <c r="Q90" s="0" t="s">
        <v>855</v>
      </c>
      <c r="R90" s="34" t="s">
        <v>968</v>
      </c>
      <c r="S90" s="34" t="s">
        <v>138</v>
      </c>
      <c r="T90" s="34" t="s">
        <v>138</v>
      </c>
      <c r="U90" s="34" t="s">
        <v>138</v>
      </c>
      <c r="V90" s="51" t="s">
        <v>969</v>
      </c>
      <c r="W90" s="0" t="s">
        <v>870</v>
      </c>
      <c r="X90" s="0" t="s">
        <v>138</v>
      </c>
    </row>
    <row r="91" customFormat="false" ht="36.5" hidden="false" customHeight="false" outlineLevel="0" collapsed="false">
      <c r="B91" s="0" t="s">
        <v>853</v>
      </c>
      <c r="C91" s="0" t="s">
        <v>871</v>
      </c>
      <c r="D91" s="0" t="n">
        <v>59</v>
      </c>
      <c r="E91" s="0" t="n">
        <v>70</v>
      </c>
      <c r="F91" s="0" t="n">
        <v>140</v>
      </c>
      <c r="G91" s="0" t="n">
        <v>15</v>
      </c>
      <c r="H91" s="0" t="s">
        <v>731</v>
      </c>
      <c r="I91" s="0" t="s">
        <v>138</v>
      </c>
      <c r="J91" s="0" t="s">
        <v>138</v>
      </c>
      <c r="K91" s="0" t="s">
        <v>138</v>
      </c>
      <c r="L91" s="0" t="n">
        <v>13</v>
      </c>
      <c r="M91" s="0" t="str">
        <f aca="false">IF($L91&gt;17,"ICU","GMF")</f>
        <v>GMF</v>
      </c>
      <c r="N91" s="0" t="s">
        <v>872</v>
      </c>
      <c r="Q91" s="0" t="s">
        <v>855</v>
      </c>
      <c r="R91" s="2" t="s">
        <v>437</v>
      </c>
      <c r="S91" s="34" t="s">
        <v>138</v>
      </c>
      <c r="T91" s="34" t="s">
        <v>138</v>
      </c>
      <c r="U91" s="34" t="s">
        <v>138</v>
      </c>
      <c r="V91" s="40" t="s">
        <v>970</v>
      </c>
      <c r="W91" s="52" t="s">
        <v>864</v>
      </c>
      <c r="X91" s="53" t="s">
        <v>731</v>
      </c>
    </row>
    <row r="92" customFormat="false" ht="15" hidden="false" customHeight="false" outlineLevel="0" collapsed="false">
      <c r="A92" s="3" t="s">
        <v>103</v>
      </c>
      <c r="B92" s="3" t="s">
        <v>853</v>
      </c>
      <c r="C92" s="0" t="s">
        <v>867</v>
      </c>
      <c r="D92" s="0" t="n">
        <v>62</v>
      </c>
      <c r="E92" s="0" t="n">
        <v>87</v>
      </c>
      <c r="F92" s="0" t="n">
        <v>115</v>
      </c>
      <c r="G92" s="0" t="n">
        <v>14</v>
      </c>
      <c r="H92" s="0" t="s">
        <v>138</v>
      </c>
      <c r="I92" s="0" t="s">
        <v>138</v>
      </c>
      <c r="J92" s="0" t="s">
        <v>138</v>
      </c>
      <c r="K92" s="0" t="s">
        <v>138</v>
      </c>
      <c r="L92" s="0" t="n">
        <v>10</v>
      </c>
      <c r="M92" s="0" t="str">
        <f aca="false">IF($L92&gt;17,"ICU","GMF")</f>
        <v>GMF</v>
      </c>
      <c r="N92" s="0" t="s">
        <v>872</v>
      </c>
      <c r="Q92" s="0" t="s">
        <v>855</v>
      </c>
      <c r="S92" s="40" t="s">
        <v>138</v>
      </c>
      <c r="T92" s="40" t="s">
        <v>138</v>
      </c>
      <c r="U92" s="34" t="s">
        <v>138</v>
      </c>
      <c r="V92" s="54" t="s">
        <v>971</v>
      </c>
      <c r="W92" s="0" t="s">
        <v>864</v>
      </c>
      <c r="X92" s="0" t="s">
        <v>138</v>
      </c>
    </row>
    <row r="93" customFormat="false" ht="15" hidden="false" customHeight="false" outlineLevel="0" collapsed="false">
      <c r="A93" s="3" t="s">
        <v>725</v>
      </c>
      <c r="B93" s="3" t="s">
        <v>853</v>
      </c>
      <c r="C93" s="0" t="s">
        <v>854</v>
      </c>
      <c r="D93" s="0" t="n">
        <v>2</v>
      </c>
      <c r="E93" s="0" t="n">
        <v>120</v>
      </c>
      <c r="F93" s="0" t="n">
        <v>67</v>
      </c>
      <c r="G93" s="0" t="n">
        <v>9</v>
      </c>
      <c r="H93" s="0" t="s">
        <v>138</v>
      </c>
      <c r="I93" s="0" t="s">
        <v>138</v>
      </c>
      <c r="J93" s="0" t="s">
        <v>138</v>
      </c>
      <c r="K93" s="0" t="s">
        <v>138</v>
      </c>
      <c r="L93" s="0" t="n">
        <v>16</v>
      </c>
      <c r="M93" s="0" t="str">
        <f aca="false">IF($L93&gt;17,"ICU","GMF")</f>
        <v>GMF</v>
      </c>
      <c r="N93" s="0" t="s">
        <v>872</v>
      </c>
      <c r="Q93" s="0" t="s">
        <v>872</v>
      </c>
      <c r="R93" s="34" t="s">
        <v>896</v>
      </c>
      <c r="S93" s="34" t="s">
        <v>138</v>
      </c>
      <c r="T93" s="34" t="s">
        <v>138</v>
      </c>
      <c r="U93" s="34" t="s">
        <v>138</v>
      </c>
      <c r="V93" s="34" t="s">
        <v>972</v>
      </c>
      <c r="W93" s="0" t="s">
        <v>864</v>
      </c>
      <c r="X93" s="0" t="s">
        <v>731</v>
      </c>
    </row>
    <row r="94" customFormat="false" ht="15" hidden="false" customHeight="false" outlineLevel="0" collapsed="false">
      <c r="B94" s="0" t="s">
        <v>866</v>
      </c>
      <c r="C94" s="0" t="s">
        <v>871</v>
      </c>
      <c r="D94" s="0" t="n">
        <v>14</v>
      </c>
      <c r="E94" s="0" t="n">
        <v>109</v>
      </c>
      <c r="F94" s="0" t="n">
        <v>120</v>
      </c>
      <c r="G94" s="0" t="n">
        <v>10</v>
      </c>
      <c r="H94" s="0" t="s">
        <v>138</v>
      </c>
      <c r="I94" s="0" t="s">
        <v>138</v>
      </c>
      <c r="J94" s="0" t="s">
        <v>731</v>
      </c>
      <c r="K94" s="0" t="s">
        <v>138</v>
      </c>
      <c r="L94" s="0" t="n">
        <v>14</v>
      </c>
      <c r="M94" s="0" t="str">
        <f aca="false">IF($L94&gt;17,"ICU","GMF")</f>
        <v>GMF</v>
      </c>
      <c r="N94" s="0" t="s">
        <v>872</v>
      </c>
      <c r="Q94" s="0" t="s">
        <v>872</v>
      </c>
      <c r="R94" s="34" t="s">
        <v>973</v>
      </c>
      <c r="S94" s="34" t="s">
        <v>138</v>
      </c>
      <c r="T94" s="34" t="s">
        <v>138</v>
      </c>
      <c r="U94" s="34" t="s">
        <v>731</v>
      </c>
      <c r="V94" s="0" t="s">
        <v>974</v>
      </c>
      <c r="W94" s="0" t="s">
        <v>859</v>
      </c>
      <c r="X94" s="0" t="s">
        <v>731</v>
      </c>
    </row>
    <row r="95" customFormat="false" ht="15" hidden="false" customHeight="false" outlineLevel="0" collapsed="false">
      <c r="A95" s="0" t="s">
        <v>784</v>
      </c>
      <c r="B95" s="0" t="s">
        <v>853</v>
      </c>
      <c r="C95" s="0" t="s">
        <v>862</v>
      </c>
      <c r="D95" s="0" t="n">
        <v>15</v>
      </c>
      <c r="E95" s="0" t="n">
        <v>81</v>
      </c>
      <c r="F95" s="0" t="n">
        <v>119</v>
      </c>
      <c r="G95" s="0" t="n">
        <v>15</v>
      </c>
      <c r="H95" s="0" t="s">
        <v>138</v>
      </c>
      <c r="I95" s="0" t="s">
        <v>138</v>
      </c>
      <c r="J95" s="0" t="s">
        <v>138</v>
      </c>
      <c r="K95" s="0" t="s">
        <v>138</v>
      </c>
      <c r="L95" s="0" t="n">
        <v>3</v>
      </c>
      <c r="M95" s="0" t="str">
        <f aca="false">IF($L95&gt;17,"ICU","GMF")</f>
        <v>GMF</v>
      </c>
      <c r="N95" s="0" t="s">
        <v>855</v>
      </c>
      <c r="Q95" s="0" t="s">
        <v>872</v>
      </c>
      <c r="R95" s="34" t="s">
        <v>178</v>
      </c>
      <c r="S95" s="34" t="s">
        <v>138</v>
      </c>
      <c r="T95" s="34" t="s">
        <v>138</v>
      </c>
      <c r="U95" s="34" t="s">
        <v>906</v>
      </c>
      <c r="W95" s="0" t="s">
        <v>864</v>
      </c>
      <c r="X95" s="0" t="s">
        <v>731</v>
      </c>
    </row>
    <row r="96" customFormat="false" ht="36.5" hidden="false" customHeight="false" outlineLevel="0" collapsed="false">
      <c r="A96" s="3" t="s">
        <v>244</v>
      </c>
      <c r="B96" s="3" t="s">
        <v>866</v>
      </c>
      <c r="C96" s="0" t="s">
        <v>854</v>
      </c>
      <c r="D96" s="0" t="n">
        <v>16</v>
      </c>
      <c r="E96" s="0" t="n">
        <v>106</v>
      </c>
      <c r="F96" s="0" t="n">
        <v>106</v>
      </c>
      <c r="G96" s="0" t="n">
        <v>14</v>
      </c>
      <c r="H96" s="0" t="s">
        <v>731</v>
      </c>
      <c r="I96" s="0" t="s">
        <v>138</v>
      </c>
      <c r="J96" s="0" t="s">
        <v>731</v>
      </c>
      <c r="K96" s="0" t="s">
        <v>138</v>
      </c>
      <c r="L96" s="0" t="n">
        <v>20</v>
      </c>
      <c r="M96" s="0" t="str">
        <f aca="false">IF($L96&gt;17,"ICU","GMF")</f>
        <v>ICU</v>
      </c>
      <c r="N96" s="0" t="s">
        <v>872</v>
      </c>
      <c r="Q96" s="0" t="s">
        <v>872</v>
      </c>
      <c r="R96" s="34" t="s">
        <v>975</v>
      </c>
      <c r="S96" s="34" t="s">
        <v>138</v>
      </c>
      <c r="T96" s="34" t="s">
        <v>138</v>
      </c>
      <c r="U96" s="34" t="s">
        <v>138</v>
      </c>
      <c r="V96" s="40" t="s">
        <v>976</v>
      </c>
      <c r="W96" s="0" t="s">
        <v>864</v>
      </c>
      <c r="X96" s="0" t="s">
        <v>731</v>
      </c>
    </row>
    <row r="97" customFormat="false" ht="15" hidden="false" customHeight="false" outlineLevel="0" collapsed="false">
      <c r="A97" s="0" t="s">
        <v>31</v>
      </c>
      <c r="B97" s="0" t="s">
        <v>866</v>
      </c>
      <c r="C97" s="0" t="s">
        <v>865</v>
      </c>
      <c r="D97" s="0" t="n">
        <v>17</v>
      </c>
      <c r="E97" s="0" t="n">
        <v>141</v>
      </c>
      <c r="F97" s="0" t="n">
        <v>141</v>
      </c>
      <c r="G97" s="0" t="n">
        <v>10</v>
      </c>
      <c r="H97" s="0" t="s">
        <v>138</v>
      </c>
      <c r="I97" s="0" t="s">
        <v>138</v>
      </c>
      <c r="J97" s="0" t="s">
        <v>731</v>
      </c>
      <c r="K97" s="0" t="s">
        <v>138</v>
      </c>
      <c r="L97" s="0" t="n">
        <v>4</v>
      </c>
      <c r="M97" s="0" t="str">
        <f aca="false">IF($L97&gt;17,"ICU","GMF")</f>
        <v>GMF</v>
      </c>
      <c r="N97" s="0" t="s">
        <v>855</v>
      </c>
      <c r="Q97" s="0" t="s">
        <v>872</v>
      </c>
      <c r="R97" s="34" t="s">
        <v>977</v>
      </c>
      <c r="S97" s="34" t="s">
        <v>138</v>
      </c>
      <c r="T97" s="34" t="s">
        <v>138</v>
      </c>
      <c r="V97" s="34" t="s">
        <v>978</v>
      </c>
      <c r="W97" s="0" t="s">
        <v>864</v>
      </c>
      <c r="X97" s="34" t="s">
        <v>731</v>
      </c>
    </row>
    <row r="98" customFormat="false" ht="15" hidden="false" customHeight="false" outlineLevel="0" collapsed="false">
      <c r="B98" s="0" t="s">
        <v>866</v>
      </c>
      <c r="C98" s="0" t="s">
        <v>875</v>
      </c>
      <c r="D98" s="0" t="n">
        <v>22</v>
      </c>
      <c r="E98" s="0" t="n">
        <v>65</v>
      </c>
      <c r="F98" s="0" t="n">
        <v>102</v>
      </c>
      <c r="G98" s="0" t="n">
        <v>15</v>
      </c>
      <c r="H98" s="0" t="s">
        <v>731</v>
      </c>
      <c r="I98" s="0" t="s">
        <v>138</v>
      </c>
      <c r="J98" s="0" t="s">
        <v>138</v>
      </c>
      <c r="K98" s="0" t="s">
        <v>138</v>
      </c>
      <c r="L98" s="0" t="n">
        <v>4</v>
      </c>
      <c r="M98" s="0" t="str">
        <f aca="false">IF($L98&gt;17,"ICU","GMF")</f>
        <v>GMF</v>
      </c>
      <c r="N98" s="0" t="s">
        <v>855</v>
      </c>
      <c r="Q98" s="0" t="s">
        <v>872</v>
      </c>
      <c r="R98" s="34" t="s">
        <v>876</v>
      </c>
      <c r="S98" s="40" t="s">
        <v>138</v>
      </c>
      <c r="T98" s="40" t="s">
        <v>138</v>
      </c>
      <c r="U98" s="40" t="s">
        <v>906</v>
      </c>
      <c r="W98" s="0" t="s">
        <v>864</v>
      </c>
      <c r="X98" s="0" t="s">
        <v>731</v>
      </c>
    </row>
    <row r="99" customFormat="false" ht="15" hidden="false" customHeight="false" outlineLevel="0" collapsed="false">
      <c r="B99" s="0" t="s">
        <v>866</v>
      </c>
      <c r="C99" s="0" t="s">
        <v>862</v>
      </c>
      <c r="D99" s="0" t="n">
        <v>25</v>
      </c>
      <c r="E99" s="0" t="n">
        <v>70</v>
      </c>
      <c r="F99" s="0" t="n">
        <v>105</v>
      </c>
      <c r="G99" s="0" t="n">
        <v>15</v>
      </c>
      <c r="H99" s="0" t="s">
        <v>138</v>
      </c>
      <c r="I99" s="0" t="s">
        <v>138</v>
      </c>
      <c r="J99" s="0" t="s">
        <v>138</v>
      </c>
      <c r="K99" s="0" t="s">
        <v>138</v>
      </c>
      <c r="L99" s="0" t="n">
        <v>5</v>
      </c>
      <c r="M99" s="0" t="str">
        <f aca="false">IF($L99&gt;17,"ICU","GMF")</f>
        <v>GMF</v>
      </c>
      <c r="N99" s="0" t="s">
        <v>855</v>
      </c>
      <c r="Q99" s="0" t="s">
        <v>872</v>
      </c>
      <c r="R99" s="34" t="s">
        <v>979</v>
      </c>
      <c r="S99" s="40" t="s">
        <v>138</v>
      </c>
      <c r="T99" s="40" t="s">
        <v>138</v>
      </c>
      <c r="U99" s="40" t="s">
        <v>906</v>
      </c>
      <c r="W99" s="0" t="s">
        <v>864</v>
      </c>
      <c r="X99" s="0" t="s">
        <v>731</v>
      </c>
    </row>
    <row r="100" customFormat="false" ht="15" hidden="false" customHeight="false" outlineLevel="0" collapsed="false">
      <c r="A100" s="3" t="s">
        <v>734</v>
      </c>
      <c r="B100" s="3" t="s">
        <v>866</v>
      </c>
      <c r="C100" s="0" t="s">
        <v>854</v>
      </c>
      <c r="D100" s="0" t="n">
        <v>25</v>
      </c>
      <c r="E100" s="0" t="n">
        <v>144</v>
      </c>
      <c r="F100" s="0" t="n">
        <v>201</v>
      </c>
      <c r="G100" s="0" t="n">
        <v>3</v>
      </c>
      <c r="H100" s="0" t="s">
        <v>731</v>
      </c>
      <c r="I100" s="0" t="s">
        <v>138</v>
      </c>
      <c r="J100" s="0" t="s">
        <v>731</v>
      </c>
      <c r="K100" s="0" t="s">
        <v>138</v>
      </c>
      <c r="L100" s="0" t="n">
        <v>26</v>
      </c>
      <c r="M100" s="0" t="str">
        <f aca="false">IF($L100&gt;17,"ICU","GMF")</f>
        <v>ICU</v>
      </c>
      <c r="N100" s="0" t="s">
        <v>872</v>
      </c>
      <c r="Q100" s="0" t="s">
        <v>872</v>
      </c>
      <c r="R100" s="34" t="s">
        <v>733</v>
      </c>
      <c r="S100" s="34" t="s">
        <v>731</v>
      </c>
      <c r="T100" s="34" t="s">
        <v>731</v>
      </c>
      <c r="U100" s="34" t="s">
        <v>731</v>
      </c>
      <c r="V100" s="0" t="s">
        <v>980</v>
      </c>
      <c r="W100" s="0" t="s">
        <v>864</v>
      </c>
      <c r="X100" s="0" t="s">
        <v>731</v>
      </c>
    </row>
    <row r="101" customFormat="false" ht="15" hidden="false" customHeight="false" outlineLevel="0" collapsed="false">
      <c r="B101" s="0" t="s">
        <v>866</v>
      </c>
      <c r="C101" s="0" t="s">
        <v>875</v>
      </c>
      <c r="D101" s="0" t="n">
        <v>25</v>
      </c>
      <c r="E101" s="0" t="n">
        <v>70</v>
      </c>
      <c r="F101" s="0" t="n">
        <v>75</v>
      </c>
      <c r="G101" s="0" t="n">
        <v>3</v>
      </c>
      <c r="H101" s="0" t="s">
        <v>731</v>
      </c>
      <c r="I101" s="0" t="s">
        <v>138</v>
      </c>
      <c r="J101" s="0" t="s">
        <v>731</v>
      </c>
      <c r="K101" s="0" t="s">
        <v>138</v>
      </c>
      <c r="L101" s="0" t="n">
        <v>22</v>
      </c>
      <c r="M101" s="0" t="str">
        <f aca="false">IF($L101&gt;17,"ICU","GMF")</f>
        <v>ICU</v>
      </c>
      <c r="N101" s="0" t="s">
        <v>872</v>
      </c>
      <c r="Q101" s="0" t="s">
        <v>872</v>
      </c>
      <c r="R101" s="34" t="s">
        <v>876</v>
      </c>
      <c r="S101" s="34" t="s">
        <v>731</v>
      </c>
      <c r="T101" s="34" t="s">
        <v>731</v>
      </c>
      <c r="U101" s="34" t="s">
        <v>731</v>
      </c>
      <c r="V101" s="0" t="s">
        <v>980</v>
      </c>
      <c r="W101" s="0" t="s">
        <v>864</v>
      </c>
      <c r="X101" s="0" t="s">
        <v>138</v>
      </c>
    </row>
    <row r="102" customFormat="false" ht="15" hidden="false" customHeight="false" outlineLevel="0" collapsed="false">
      <c r="A102" s="3" t="s">
        <v>369</v>
      </c>
      <c r="B102" s="3" t="s">
        <v>866</v>
      </c>
      <c r="C102" s="0" t="s">
        <v>879</v>
      </c>
      <c r="D102" s="0" t="n">
        <v>29</v>
      </c>
      <c r="E102" s="0" t="n">
        <v>162</v>
      </c>
      <c r="F102" s="0" t="n">
        <v>170</v>
      </c>
      <c r="G102" s="0" t="n">
        <v>13</v>
      </c>
      <c r="H102" s="0" t="s">
        <v>138</v>
      </c>
      <c r="I102" s="0" t="s">
        <v>138</v>
      </c>
      <c r="J102" s="0" t="s">
        <v>731</v>
      </c>
      <c r="K102" s="0" t="s">
        <v>138</v>
      </c>
      <c r="L102" s="0" t="n">
        <v>13</v>
      </c>
      <c r="M102" s="0" t="str">
        <f aca="false">IF($L102&gt;17,"ICU","GMF")</f>
        <v>GMF</v>
      </c>
      <c r="N102" s="0" t="s">
        <v>872</v>
      </c>
      <c r="Q102" s="0" t="s">
        <v>872</v>
      </c>
      <c r="R102" s="34" t="s">
        <v>981</v>
      </c>
      <c r="S102" s="34" t="s">
        <v>138</v>
      </c>
      <c r="T102" s="34" t="s">
        <v>138</v>
      </c>
      <c r="U102" s="34" t="s">
        <v>731</v>
      </c>
      <c r="V102" s="34" t="s">
        <v>982</v>
      </c>
      <c r="W102" s="0" t="s">
        <v>870</v>
      </c>
      <c r="X102" s="0" t="s">
        <v>731</v>
      </c>
    </row>
    <row r="103" customFormat="false" ht="15" hidden="false" customHeight="false" outlineLevel="0" collapsed="false">
      <c r="B103" s="0" t="s">
        <v>866</v>
      </c>
      <c r="C103" s="0" t="s">
        <v>875</v>
      </c>
      <c r="D103" s="0" t="n">
        <v>30</v>
      </c>
      <c r="E103" s="0" t="n">
        <v>74</v>
      </c>
      <c r="F103" s="0" t="n">
        <v>130</v>
      </c>
      <c r="G103" s="0" t="n">
        <v>15</v>
      </c>
      <c r="H103" s="0" t="s">
        <v>731</v>
      </c>
      <c r="I103" s="0" t="s">
        <v>138</v>
      </c>
      <c r="J103" s="0" t="s">
        <v>138</v>
      </c>
      <c r="K103" s="0" t="s">
        <v>138</v>
      </c>
      <c r="L103" s="0" t="n">
        <v>3</v>
      </c>
      <c r="M103" s="0" t="str">
        <f aca="false">IF($L103&gt;17,"ICU","GMF")</f>
        <v>GMF</v>
      </c>
      <c r="N103" s="0" t="s">
        <v>855</v>
      </c>
      <c r="Q103" s="0" t="s">
        <v>872</v>
      </c>
      <c r="R103" s="34" t="s">
        <v>876</v>
      </c>
      <c r="S103" s="40" t="s">
        <v>138</v>
      </c>
      <c r="T103" s="40" t="s">
        <v>138</v>
      </c>
      <c r="U103" s="40" t="s">
        <v>906</v>
      </c>
      <c r="W103" s="0" t="s">
        <v>864</v>
      </c>
      <c r="X103" s="0" t="s">
        <v>731</v>
      </c>
    </row>
    <row r="104" customFormat="false" ht="25" hidden="false" customHeight="false" outlineLevel="0" collapsed="false">
      <c r="B104" s="0" t="s">
        <v>866</v>
      </c>
      <c r="C104" s="0" t="s">
        <v>854</v>
      </c>
      <c r="D104" s="0" t="n">
        <v>30</v>
      </c>
      <c r="E104" s="0" t="n">
        <v>89</v>
      </c>
      <c r="F104" s="0" t="n">
        <v>181</v>
      </c>
      <c r="G104" s="0" t="n">
        <v>3</v>
      </c>
      <c r="H104" s="0" t="s">
        <v>731</v>
      </c>
      <c r="I104" s="0" t="s">
        <v>138</v>
      </c>
      <c r="J104" s="0" t="s">
        <v>731</v>
      </c>
      <c r="K104" s="0" t="s">
        <v>138</v>
      </c>
      <c r="L104" s="0" t="n">
        <v>24</v>
      </c>
      <c r="M104" s="0" t="str">
        <f aca="false">IF($L104&gt;17,"ICU","GMF")</f>
        <v>ICU</v>
      </c>
      <c r="N104" s="0" t="s">
        <v>872</v>
      </c>
      <c r="Q104" s="0" t="s">
        <v>872</v>
      </c>
      <c r="R104" s="34" t="s">
        <v>983</v>
      </c>
      <c r="S104" s="34" t="s">
        <v>731</v>
      </c>
      <c r="T104" s="34" t="s">
        <v>731</v>
      </c>
      <c r="U104" s="34" t="s">
        <v>731</v>
      </c>
      <c r="V104" s="0" t="s">
        <v>980</v>
      </c>
      <c r="W104" s="0" t="s">
        <v>864</v>
      </c>
      <c r="X104" s="0" t="s">
        <v>731</v>
      </c>
    </row>
    <row r="105" customFormat="false" ht="15" hidden="false" customHeight="false" outlineLevel="0" collapsed="false">
      <c r="A105" s="3" t="s">
        <v>407</v>
      </c>
      <c r="B105" s="0" t="s">
        <v>853</v>
      </c>
      <c r="C105" s="0" t="s">
        <v>879</v>
      </c>
      <c r="D105" s="0" t="n">
        <v>36</v>
      </c>
      <c r="E105" s="0" t="n">
        <v>99</v>
      </c>
      <c r="F105" s="0" t="n">
        <v>128</v>
      </c>
      <c r="G105" s="0" t="n">
        <v>15</v>
      </c>
      <c r="H105" s="0" t="s">
        <v>138</v>
      </c>
      <c r="I105" s="0" t="s">
        <v>138</v>
      </c>
      <c r="J105" s="0" t="s">
        <v>138</v>
      </c>
      <c r="K105" s="0" t="s">
        <v>138</v>
      </c>
      <c r="L105" s="0" t="n">
        <v>9</v>
      </c>
      <c r="M105" s="0" t="str">
        <f aca="false">IF($L105&gt;17,"ICU","GMF")</f>
        <v>GMF</v>
      </c>
      <c r="N105" s="0" t="s">
        <v>872</v>
      </c>
      <c r="Q105" s="0" t="s">
        <v>872</v>
      </c>
      <c r="R105" s="34" t="s">
        <v>984</v>
      </c>
      <c r="S105" s="34" t="s">
        <v>138</v>
      </c>
      <c r="T105" s="34" t="s">
        <v>138</v>
      </c>
      <c r="U105" s="34" t="s">
        <v>731</v>
      </c>
      <c r="V105" s="0" t="s">
        <v>985</v>
      </c>
      <c r="W105" s="0" t="s">
        <v>864</v>
      </c>
      <c r="X105" s="34" t="s">
        <v>731</v>
      </c>
    </row>
    <row r="106" customFormat="false" ht="15" hidden="false" customHeight="false" outlineLevel="0" collapsed="false">
      <c r="A106" s="3" t="s">
        <v>403</v>
      </c>
      <c r="B106" s="3" t="s">
        <v>866</v>
      </c>
      <c r="C106" s="0" t="s">
        <v>862</v>
      </c>
      <c r="D106" s="0" t="n">
        <v>38</v>
      </c>
      <c r="E106" s="0" t="n">
        <v>63</v>
      </c>
      <c r="F106" s="0" t="n">
        <v>112</v>
      </c>
      <c r="G106" s="0" t="n">
        <v>15</v>
      </c>
      <c r="H106" s="0" t="s">
        <v>138</v>
      </c>
      <c r="I106" s="0" t="s">
        <v>138</v>
      </c>
      <c r="J106" s="0" t="s">
        <v>138</v>
      </c>
      <c r="K106" s="0" t="s">
        <v>138</v>
      </c>
      <c r="L106" s="0" t="n">
        <v>6</v>
      </c>
      <c r="M106" s="0" t="str">
        <f aca="false">IF($L106&gt;17,"ICU","GMF")</f>
        <v>GMF</v>
      </c>
      <c r="N106" s="0" t="s">
        <v>855</v>
      </c>
      <c r="Q106" s="0" t="s">
        <v>872</v>
      </c>
      <c r="R106" s="34" t="s">
        <v>178</v>
      </c>
      <c r="S106" s="34" t="s">
        <v>138</v>
      </c>
      <c r="T106" s="34" t="s">
        <v>138</v>
      </c>
      <c r="U106" s="34" t="s">
        <v>906</v>
      </c>
      <c r="W106" s="0" t="s">
        <v>864</v>
      </c>
      <c r="X106" s="0" t="s">
        <v>731</v>
      </c>
    </row>
    <row r="107" customFormat="false" ht="25" hidden="false" customHeight="false" outlineLevel="0" collapsed="false">
      <c r="A107" s="3" t="s">
        <v>179</v>
      </c>
      <c r="B107" s="3" t="s">
        <v>866</v>
      </c>
      <c r="C107" s="0" t="s">
        <v>862</v>
      </c>
      <c r="D107" s="0" t="n">
        <v>38</v>
      </c>
      <c r="E107" s="0" t="n">
        <v>87</v>
      </c>
      <c r="F107" s="0" t="n">
        <v>113</v>
      </c>
      <c r="G107" s="0" t="n">
        <v>15</v>
      </c>
      <c r="H107" s="0" t="s">
        <v>138</v>
      </c>
      <c r="I107" s="0" t="s">
        <v>138</v>
      </c>
      <c r="J107" s="0" t="s">
        <v>138</v>
      </c>
      <c r="K107" s="0" t="s">
        <v>138</v>
      </c>
      <c r="L107" s="0" t="n">
        <v>8</v>
      </c>
      <c r="M107" s="0" t="str">
        <f aca="false">IF($L107&gt;17,"ICU","GMF")</f>
        <v>GMF</v>
      </c>
      <c r="N107" s="0" t="s">
        <v>872</v>
      </c>
      <c r="Q107" s="0" t="s">
        <v>872</v>
      </c>
      <c r="R107" s="34" t="s">
        <v>986</v>
      </c>
      <c r="S107" s="40" t="s">
        <v>138</v>
      </c>
      <c r="T107" s="40" t="s">
        <v>138</v>
      </c>
      <c r="U107" s="34" t="s">
        <v>906</v>
      </c>
      <c r="W107" s="0" t="s">
        <v>864</v>
      </c>
      <c r="X107" s="0" t="s">
        <v>731</v>
      </c>
    </row>
    <row r="108" customFormat="false" ht="15" hidden="false" customHeight="false" outlineLevel="0" collapsed="false">
      <c r="A108" s="55"/>
      <c r="B108" s="55" t="s">
        <v>866</v>
      </c>
      <c r="C108" s="56" t="s">
        <v>865</v>
      </c>
      <c r="D108" s="55" t="n">
        <v>39</v>
      </c>
      <c r="E108" s="55" t="n">
        <v>143</v>
      </c>
      <c r="F108" s="55" t="n">
        <v>157</v>
      </c>
      <c r="G108" s="55" t="n">
        <v>15</v>
      </c>
      <c r="H108" s="56" t="s">
        <v>138</v>
      </c>
      <c r="I108" s="56" t="s">
        <v>138</v>
      </c>
      <c r="J108" s="56" t="s">
        <v>731</v>
      </c>
      <c r="K108" s="56" t="s">
        <v>138</v>
      </c>
      <c r="L108" s="55" t="n">
        <v>5</v>
      </c>
      <c r="M108" s="55" t="str">
        <f aca="false">IF($L108&gt;17,"ICU","GMF")</f>
        <v>GMF</v>
      </c>
      <c r="N108" s="55" t="s">
        <v>855</v>
      </c>
      <c r="O108" s="55"/>
      <c r="P108" s="55"/>
      <c r="Q108" s="55" t="s">
        <v>872</v>
      </c>
      <c r="R108" s="57" t="s">
        <v>977</v>
      </c>
      <c r="S108" s="58" t="s">
        <v>138</v>
      </c>
      <c r="T108" s="58" t="s">
        <v>138</v>
      </c>
      <c r="U108" s="58" t="s">
        <v>138</v>
      </c>
      <c r="V108" s="58" t="s">
        <v>987</v>
      </c>
      <c r="W108" s="56" t="s">
        <v>877</v>
      </c>
      <c r="X108" s="58" t="s">
        <v>731</v>
      </c>
    </row>
    <row r="109" customFormat="false" ht="25" hidden="false" customHeight="false" outlineLevel="0" collapsed="false">
      <c r="B109" s="0" t="s">
        <v>866</v>
      </c>
      <c r="C109" s="0" t="s">
        <v>854</v>
      </c>
      <c r="D109" s="0" t="n">
        <v>42</v>
      </c>
      <c r="E109" s="0" t="n">
        <v>81</v>
      </c>
      <c r="F109" s="0" t="n">
        <v>118</v>
      </c>
      <c r="G109" s="0" t="n">
        <v>13</v>
      </c>
      <c r="H109" s="0" t="s">
        <v>731</v>
      </c>
      <c r="I109" s="0" t="s">
        <v>138</v>
      </c>
      <c r="J109" s="0" t="s">
        <v>138</v>
      </c>
      <c r="K109" s="0" t="s">
        <v>138</v>
      </c>
      <c r="L109" s="0" t="n">
        <v>18</v>
      </c>
      <c r="M109" s="0" t="str">
        <f aca="false">IF($L109&gt;17,"ICU","GMF")</f>
        <v>ICU</v>
      </c>
      <c r="N109" s="0" t="s">
        <v>872</v>
      </c>
      <c r="Q109" s="0" t="s">
        <v>872</v>
      </c>
      <c r="R109" s="34" t="s">
        <v>988</v>
      </c>
      <c r="S109" s="34" t="s">
        <v>138</v>
      </c>
      <c r="T109" s="34" t="s">
        <v>138</v>
      </c>
      <c r="U109" s="34" t="s">
        <v>731</v>
      </c>
      <c r="V109" s="34" t="s">
        <v>989</v>
      </c>
      <c r="W109" s="0" t="s">
        <v>864</v>
      </c>
      <c r="X109" s="0" t="s">
        <v>731</v>
      </c>
    </row>
    <row r="110" customFormat="false" ht="25" hidden="false" customHeight="false" outlineLevel="0" collapsed="false">
      <c r="A110" s="3" t="s">
        <v>116</v>
      </c>
      <c r="B110" s="3" t="s">
        <v>866</v>
      </c>
      <c r="C110" s="0" t="s">
        <v>883</v>
      </c>
      <c r="D110" s="0" t="n">
        <v>50</v>
      </c>
      <c r="E110" s="0" t="n">
        <v>109</v>
      </c>
      <c r="F110" s="0" t="n">
        <v>98</v>
      </c>
      <c r="G110" s="0" t="n">
        <v>15</v>
      </c>
      <c r="H110" s="0" t="s">
        <v>138</v>
      </c>
      <c r="I110" s="0" t="s">
        <v>138</v>
      </c>
      <c r="J110" s="0" t="s">
        <v>731</v>
      </c>
      <c r="K110" s="0" t="s">
        <v>138</v>
      </c>
      <c r="L110" s="0" t="n">
        <v>19</v>
      </c>
      <c r="M110" s="0" t="str">
        <f aca="false">IF($L110&gt;17,"ICU","GMF")</f>
        <v>ICU</v>
      </c>
      <c r="N110" s="0" t="s">
        <v>872</v>
      </c>
      <c r="Q110" s="0" t="s">
        <v>872</v>
      </c>
      <c r="R110" s="34" t="s">
        <v>990</v>
      </c>
      <c r="S110" s="40" t="s">
        <v>138</v>
      </c>
      <c r="T110" s="40" t="s">
        <v>138</v>
      </c>
      <c r="U110" s="34" t="s">
        <v>731</v>
      </c>
      <c r="V110" s="0" t="s">
        <v>991</v>
      </c>
      <c r="W110" s="0" t="s">
        <v>864</v>
      </c>
      <c r="X110" s="0" t="s">
        <v>731</v>
      </c>
    </row>
    <row r="111" customFormat="false" ht="15" hidden="false" customHeight="false" outlineLevel="0" collapsed="false">
      <c r="A111" s="0" t="s">
        <v>84</v>
      </c>
      <c r="B111" s="0" t="s">
        <v>866</v>
      </c>
      <c r="C111" s="0" t="s">
        <v>883</v>
      </c>
      <c r="D111" s="0" t="n">
        <v>56</v>
      </c>
      <c r="E111" s="0" t="n">
        <v>70</v>
      </c>
      <c r="F111" s="0" t="n">
        <v>97</v>
      </c>
      <c r="G111" s="0" t="n">
        <v>5</v>
      </c>
      <c r="H111" s="0" t="s">
        <v>731</v>
      </c>
      <c r="I111" s="0" t="s">
        <v>138</v>
      </c>
      <c r="J111" s="0" t="s">
        <v>138</v>
      </c>
      <c r="K111" s="0" t="s">
        <v>138</v>
      </c>
      <c r="L111" s="0" t="n">
        <v>29</v>
      </c>
      <c r="M111" s="0" t="str">
        <f aca="false">IF($L111&gt;17,"ICU","GMF")</f>
        <v>ICU</v>
      </c>
      <c r="N111" s="0" t="s">
        <v>872</v>
      </c>
      <c r="Q111" s="0" t="s">
        <v>872</v>
      </c>
      <c r="R111" s="34" t="s">
        <v>992</v>
      </c>
      <c r="S111" s="40" t="s">
        <v>138</v>
      </c>
      <c r="T111" s="40" t="s">
        <v>138</v>
      </c>
      <c r="U111" s="40" t="s">
        <v>731</v>
      </c>
      <c r="V111" s="40" t="s">
        <v>993</v>
      </c>
      <c r="W111" s="0" t="s">
        <v>864</v>
      </c>
      <c r="X111" s="0" t="s">
        <v>731</v>
      </c>
    </row>
    <row r="112" customFormat="false" ht="48" hidden="false" customHeight="false" outlineLevel="0" collapsed="false">
      <c r="B112" s="0" t="s">
        <v>866</v>
      </c>
      <c r="C112" s="0" t="s">
        <v>883</v>
      </c>
      <c r="D112" s="0" t="n">
        <v>77</v>
      </c>
      <c r="E112" s="0" t="n">
        <v>59</v>
      </c>
      <c r="F112" s="0" t="n">
        <v>75</v>
      </c>
      <c r="G112" s="0" t="n">
        <v>15</v>
      </c>
      <c r="H112" s="0" t="s">
        <v>138</v>
      </c>
      <c r="I112" s="0" t="s">
        <v>138</v>
      </c>
      <c r="K112" s="0" t="s">
        <v>138</v>
      </c>
      <c r="L112" s="0" t="n">
        <v>14</v>
      </c>
      <c r="M112" s="0" t="str">
        <f aca="false">IF($L112&gt;17,"ICU","GMF")</f>
        <v>GMF</v>
      </c>
      <c r="N112" s="0" t="s">
        <v>872</v>
      </c>
      <c r="Q112" s="0" t="s">
        <v>872</v>
      </c>
      <c r="R112" s="34" t="s">
        <v>994</v>
      </c>
      <c r="S112" s="34" t="s">
        <v>731</v>
      </c>
      <c r="T112" s="34" t="s">
        <v>731</v>
      </c>
      <c r="U112" s="34" t="s">
        <v>731</v>
      </c>
      <c r="V112" s="0" t="s">
        <v>995</v>
      </c>
      <c r="W112" s="0" t="s">
        <v>859</v>
      </c>
      <c r="X112" s="0" t="s">
        <v>731</v>
      </c>
    </row>
    <row r="113" customFormat="false" ht="25" hidden="false" customHeight="false" outlineLevel="0" collapsed="false">
      <c r="A113" s="3" t="s">
        <v>42</v>
      </c>
      <c r="B113" s="3" t="s">
        <v>853</v>
      </c>
      <c r="C113" s="0" t="s">
        <v>879</v>
      </c>
      <c r="D113" s="0" t="n">
        <v>88</v>
      </c>
      <c r="E113" s="0" t="n">
        <v>84</v>
      </c>
      <c r="F113" s="0" t="n">
        <v>84</v>
      </c>
      <c r="G113" s="0" t="n">
        <v>12</v>
      </c>
      <c r="H113" s="0" t="s">
        <v>731</v>
      </c>
      <c r="I113" s="0" t="s">
        <v>138</v>
      </c>
      <c r="J113" s="0" t="s">
        <v>138</v>
      </c>
      <c r="K113" s="0" t="s">
        <v>731</v>
      </c>
      <c r="L113" s="0" t="n">
        <v>35</v>
      </c>
      <c r="M113" s="0" t="str">
        <f aca="false">IF($L113&gt;17,"ICU","GMF")</f>
        <v>ICU</v>
      </c>
      <c r="N113" s="0" t="s">
        <v>872</v>
      </c>
      <c r="Q113" s="0" t="s">
        <v>872</v>
      </c>
      <c r="R113" s="34" t="s">
        <v>996</v>
      </c>
      <c r="S113" s="34" t="s">
        <v>138</v>
      </c>
      <c r="T113" s="34" t="s">
        <v>138</v>
      </c>
      <c r="U113" s="34" t="s">
        <v>731</v>
      </c>
      <c r="V113" s="34" t="s">
        <v>997</v>
      </c>
      <c r="W113" s="0" t="s">
        <v>864</v>
      </c>
      <c r="X113" s="0" t="s">
        <v>731</v>
      </c>
    </row>
  </sheetData>
  <mergeCells count="10">
    <mergeCell ref="AB28:AC28"/>
    <mergeCell ref="Z30:Z31"/>
    <mergeCell ref="AF35:AJ35"/>
    <mergeCell ref="AM35:AR35"/>
    <mergeCell ref="AB36:AC36"/>
    <mergeCell ref="AI36:AJ36"/>
    <mergeCell ref="AQ36:AR36"/>
    <mergeCell ref="Z38:Z39"/>
    <mergeCell ref="AG38:AG39"/>
    <mergeCell ref="AO38:AO39"/>
  </mergeCells>
  <dataValidations count="3">
    <dataValidation allowBlank="true" errorStyle="stop" operator="between" showDropDown="false" showErrorMessage="false" showInputMessage="false" sqref="C1:C1113" type="list">
      <formula1>$AB$3:$AB$10</formula1>
      <formula2>0</formula2>
    </dataValidation>
    <dataValidation allowBlank="true" errorStyle="stop" operator="between" showDropDown="false" showErrorMessage="false" showInputMessage="false" sqref="H1:K1113" type="list">
      <formula1>$Z$2:$Z$3</formula1>
      <formula2>0</formula2>
    </dataValidation>
    <dataValidation allowBlank="true" errorStyle="stop" operator="between" showDropDown="false" showErrorMessage="true" showInputMessage="true" sqref="W1:W1113" type="list">
      <formula1>$AC$3:$AC$6</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3"/>
  <sheetViews>
    <sheetView showFormulas="false" showGridLines="true" showRowColHeaders="true" showZeros="true" rightToLeft="false" tabSelected="false" showOutlineSymbols="true" defaultGridColor="true" view="normal" topLeftCell="E15" colorId="64" zoomScale="102" zoomScaleNormal="102" zoomScalePageLayoutView="100" workbookViewId="0">
      <selection pane="topLeft" activeCell="O50" activeCellId="0" sqref="O50"/>
    </sheetView>
  </sheetViews>
  <sheetFormatPr defaultColWidth="11.5078125" defaultRowHeight="15" customHeight="true" zeroHeight="false" outlineLevelRow="0" outlineLevelCol="0"/>
  <cols>
    <col collapsed="false" customWidth="true" hidden="false" outlineLevel="0" max="1" min="1" style="0" width="18.5"/>
    <col collapsed="false" customWidth="true" hidden="false" outlineLevel="0" max="2" min="2" style="0" width="36.5"/>
    <col collapsed="false" customWidth="true" hidden="false" outlineLevel="0" max="3" min="3" style="0" width="16.83"/>
    <col collapsed="false" customWidth="true" hidden="false" outlineLevel="0" max="4" min="4" style="0" width="12.33"/>
    <col collapsed="false" customWidth="true" hidden="false" outlineLevel="0" max="5" min="5" style="0" width="17.5"/>
    <col collapsed="false" customWidth="true" hidden="false" outlineLevel="0" max="6" min="6" style="0" width="32.16"/>
  </cols>
  <sheetData>
    <row r="1" customFormat="false" ht="15" hidden="false" customHeight="false" outlineLevel="0" collapsed="false">
      <c r="O1" s="0" t="s">
        <v>998</v>
      </c>
    </row>
    <row r="2" customFormat="false" ht="15" hidden="false" customHeight="false" outlineLevel="0" collapsed="false">
      <c r="O2" s="0" t="s">
        <v>930</v>
      </c>
      <c r="P2" s="0" t="s">
        <v>931</v>
      </c>
    </row>
    <row r="3" customFormat="false" ht="15" hidden="false" customHeight="false" outlineLevel="0" collapsed="false">
      <c r="A3" s="0" t="s">
        <v>850</v>
      </c>
      <c r="B3" s="0" t="s">
        <v>731</v>
      </c>
      <c r="C3" s="0" t="s">
        <v>168</v>
      </c>
      <c r="D3" s="0" t="s">
        <v>859</v>
      </c>
      <c r="E3" s="34" t="s">
        <v>999</v>
      </c>
      <c r="F3" s="0" t="s">
        <v>1000</v>
      </c>
      <c r="G3" s="0" t="s">
        <v>912</v>
      </c>
      <c r="I3" s="0" t="s">
        <v>1001</v>
      </c>
      <c r="N3" s="0" t="s">
        <v>1002</v>
      </c>
      <c r="O3" s="0" t="n">
        <f aca="false">COUNTIFS(INTOXICATE!W:W,INTOXICATE!$AB$3,INTOXICATE!X:X,INTOXICATE!$Y$2,INTOXICATE!D:D,"&gt;=12")</f>
        <v>61</v>
      </c>
      <c r="P3" s="0" t="n">
        <f aca="false">COUNTIFS(INTOXICATE!W:W,INTOXICATE!$AB$3,INTOXICATE!X:X,INTOXICATE!$Y$3,INTOXICATE!D:D,"&gt;=12")</f>
        <v>2</v>
      </c>
      <c r="Q3" s="0" t="n">
        <f aca="false">COUNTIFS(INTOXICATE!Y:Y,INTOXICATE!$AB$3,INTOXICATE!Z:Z,INTOXICATE!$Y$2)</f>
        <v>0</v>
      </c>
    </row>
    <row r="4" customFormat="false" ht="15" hidden="false" customHeight="false" outlineLevel="0" collapsed="false">
      <c r="B4" s="34" t="n">
        <f aca="false">COUNTIF(INTOXICATE!W:W,INTOXICATE!$AB$3)</f>
        <v>67</v>
      </c>
      <c r="C4" s="34" t="n">
        <f aca="false">COUNTIF(INTOXICATE!W:W,INTOXICATE!$AB$4)</f>
        <v>12</v>
      </c>
      <c r="D4" s="34" t="n">
        <f aca="false">COUNTIF(INTOXICATE!W:W,INTOXICATE!$AB$5)</f>
        <v>31</v>
      </c>
      <c r="E4" s="34" t="n">
        <f aca="false">COUNTIF(INTOXICATE!W:W,INTOXICATE!$AB$6)</f>
        <v>2</v>
      </c>
      <c r="F4" s="59" t="n">
        <f aca="false">COUNTA(INTOXICATE!$W$2:$W$114)/G4</f>
        <v>1</v>
      </c>
      <c r="G4" s="0" t="n">
        <f aca="false">SUM($B4:$E4)</f>
        <v>112</v>
      </c>
      <c r="I4" s="0" t="s">
        <v>1003</v>
      </c>
      <c r="J4" s="0" t="n">
        <f aca="false">COUNTIF(INTOXICATE!$D$2:$D$150,"&lt;12")</f>
        <v>9</v>
      </c>
      <c r="M4" s="0" t="s">
        <v>1004</v>
      </c>
      <c r="N4" s="0" t="s">
        <v>138</v>
      </c>
      <c r="O4" s="0" t="n">
        <f aca="false">COUNTIFS(INTOXICATE!W:W,INTOXICATE!$AB$4,INTOXICATE!X:X,INTOXICATE!$Y$2,INTOXICATE!D:D,"&gt;=12")</f>
        <v>6</v>
      </c>
      <c r="P4" s="0" t="n">
        <f aca="false">COUNTIFS(INTOXICATE!W:W,INTOXICATE!$AB$4,INTOXICATE!X:X,INTOXICATE!$Y$3,INTOXICATE!D:D,"&gt;=12")</f>
        <v>6</v>
      </c>
      <c r="Q4" s="0" t="n">
        <f aca="false">COUNTIFS(INTOXICATE!Y:Y,INTOXICATE!$AB$3,INTOXICATE!Z:Z,INTOXICATE!$Y$2)</f>
        <v>0</v>
      </c>
    </row>
    <row r="5" customFormat="false" ht="15" hidden="false" customHeight="false" outlineLevel="0" collapsed="false">
      <c r="A5" s="0" t="s">
        <v>1005</v>
      </c>
      <c r="B5" s="34" t="n">
        <f aca="false">COUNTIFS(INTOXICATE!W:W,INTOXICATE!$AB$3,INTOXICATE!D:D,"&gt;=12")</f>
        <v>63</v>
      </c>
      <c r="C5" s="34" t="n">
        <f aca="false">COUNTIFS(INTOXICATE!W:W,INTOXICATE!$AB$4,INTOXICATE!D:D,"&gt;=12")</f>
        <v>12</v>
      </c>
      <c r="D5" s="34" t="n">
        <f aca="false">COUNTIFS(INTOXICATE!W:W,INTOXICATE!$AB$5,INTOXICATE!D:D,"&gt;=12")</f>
        <v>26</v>
      </c>
      <c r="E5" s="34" t="n">
        <v>0</v>
      </c>
      <c r="F5" s="59" t="n">
        <f aca="false">(COUNTA(INTOXICATE!$W$2:$W$114)-COUNTIF(INTOXICATE!D:D,"&lt;=12"))/G5</f>
        <v>0.99009900990099</v>
      </c>
      <c r="G5" s="0" t="n">
        <f aca="false">SUM($B5:$D5)</f>
        <v>101</v>
      </c>
      <c r="I5" s="0" t="s">
        <v>1006</v>
      </c>
      <c r="J5" s="0" t="n">
        <f aca="false">COUNTIFS(INTOXICATE!$D$2:$D$150,"&gt;11",INTOXICATE!$W$2:$W$150,INTOXICATE!$AB$6)</f>
        <v>2</v>
      </c>
      <c r="N5" s="0" t="s">
        <v>1007</v>
      </c>
      <c r="O5" s="0" t="n">
        <f aca="false">COUNTIFS(INTOXICATE!W:W,INTOXICATE!$AB$5,INTOXICATE!X:X,INTOXICATE!$Y$2,INTOXICATE!D:D,"&gt;=12")</f>
        <v>24</v>
      </c>
      <c r="P5" s="0" t="n">
        <f aca="false">COUNTIFS(INTOXICATE!W:W,INTOXICATE!$AB$5,INTOXICATE!X:X,INTOXICATE!$Y$3,INTOXICATE!D:D,"&gt;=12")</f>
        <v>2</v>
      </c>
    </row>
    <row r="6" customFormat="false" ht="15" hidden="false" customHeight="false" outlineLevel="0" collapsed="false">
      <c r="A6" s="0" t="s">
        <v>998</v>
      </c>
      <c r="B6" s="0" t="s">
        <v>731</v>
      </c>
      <c r="C6" s="0" t="s">
        <v>168</v>
      </c>
    </row>
    <row r="7" customFormat="false" ht="15" hidden="false" customHeight="false" outlineLevel="0" collapsed="false">
      <c r="B7" s="0" t="n">
        <f aca="false">COUNTIF(INTOXICATE!X2:X150,$B6)</f>
        <v>101</v>
      </c>
      <c r="C7" s="0" t="n">
        <f aca="false">COUNTIF(INTOXICATE!Y2:Y150,$B6)</f>
        <v>1</v>
      </c>
      <c r="F7" s="59" t="n">
        <f aca="false">COUNTA(INTOXICATE!$X$2:$X$113)/112</f>
        <v>1</v>
      </c>
    </row>
    <row r="8" customFormat="false" ht="15" hidden="false" customHeight="false" outlineLevel="0" collapsed="false">
      <c r="F8" s="59"/>
    </row>
    <row r="9" customFormat="false" ht="15" hidden="false" customHeight="false" outlineLevel="0" collapsed="false">
      <c r="F9" s="59"/>
    </row>
    <row r="10" customFormat="false" ht="15" hidden="false" customHeight="false" outlineLevel="0" collapsed="false">
      <c r="F10" s="59"/>
    </row>
    <row r="12" customFormat="false" ht="15" hidden="false" customHeight="false" outlineLevel="0" collapsed="false">
      <c r="A12" s="60" t="s">
        <v>831</v>
      </c>
      <c r="B12" s="0" t="n">
        <v>25</v>
      </c>
      <c r="C12" s="0" t="n">
        <v>50</v>
      </c>
      <c r="D12" s="0" t="n">
        <v>75</v>
      </c>
      <c r="I12" s="0" t="s">
        <v>1008</v>
      </c>
      <c r="K12" s="0" t="s">
        <v>1009</v>
      </c>
      <c r="L12" s="0" t="s">
        <v>1010</v>
      </c>
      <c r="M12" s="0" t="s">
        <v>916</v>
      </c>
    </row>
    <row r="13" customFormat="false" ht="15" hidden="false" customHeight="false" outlineLevel="0" collapsed="false">
      <c r="A13" s="0" t="s">
        <v>1010</v>
      </c>
      <c r="B13" s="0" t="n">
        <f aca="false" t="array" ref="B13:B13">QUARTILE(_xlfn._xlws.FILTER(INTOXICATE!$D$2:$D$150, (INTOXICATE!$D$2:$D$150&gt;=18)*(INTOXICATE!$W$2:$W$150&lt;&gt;INTOXICATE!$AB$6)),1)</f>
        <v>27</v>
      </c>
      <c r="C13" s="0" t="n">
        <f aca="false" t="array" ref="C13:C13">QUARTILE(_xlfn._xlws.FILTER(INTOXICATE!$D$2:$D$150, (INTOXICATE!$D$2:$D$150&gt;=18)*(INTOXICATE!$W$2:$W$150&lt;&gt;INTOXICATE!$AB$6)),2)</f>
        <v>35</v>
      </c>
      <c r="D13" s="0" t="n">
        <f aca="false" t="array" ref="D13:D13">QUARTILE(_xlfn._xlws.FILTER(INTOXICATE!$D$2:$D$150, (INTOXICATE!$D$2:$D$150&gt;=18)*(INTOXICATE!$W$2:$W$150&lt;&gt;INTOXICATE!$AB$6)),3)</f>
        <v>50</v>
      </c>
      <c r="I13" s="0" t="s">
        <v>872</v>
      </c>
      <c r="J13" s="0" t="n">
        <f aca="false">COUNTIFS(INTOXICATE!$D$2:$D$150,"&gt;=12",INTOXICATE!$Q$2:$Q$150,$I13,INTOXICATE!$W$2:$W$150,"&lt;&gt;"&amp;INTOXICATE!$AB$6)</f>
        <v>19</v>
      </c>
      <c r="K13" s="0" t="n">
        <f aca="false">$J13/SUM($J$13:$J$15)</f>
        <v>0.188118811881188</v>
      </c>
      <c r="L13" s="0" t="n">
        <f aca="false">COUNTIFS(INTOXICATE!$D$2:$D$150,"&gt;=12",INTOXICATE!$Q$2:$Q$150,$I13,INTOXICATE!$D$2:$D$150,"&gt;18",INTOXICATE!$W$2:$W$150,"&lt;&gt;"&amp;INTOXICATE!$AB$6)</f>
        <v>15</v>
      </c>
      <c r="M13" s="0" t="n">
        <f aca="false">COUNTIFS(INTOXICATE!$D$2:$D$150,"&gt;=12",INTOXICATE!$Q$2:$Q$150,$I13,INTOXICATE!$D$2:$D$150,"&lt;18", INTOXICATE!$D$2:$D$150,"&gt;=12",INTOXICATE!$W$2:$W$150,"&lt;&gt;"&amp;INTOXICATE!$AB$6)</f>
        <v>4</v>
      </c>
    </row>
    <row r="14" customFormat="false" ht="15" hidden="false" customHeight="false" outlineLevel="0" collapsed="false">
      <c r="A14" s="0" t="s">
        <v>916</v>
      </c>
      <c r="B14" s="0" t="n">
        <f aca="false" t="array" ref="B14:B14">QUARTILE(_xlfn._xlws.FILTER(INTOXICATE!$D$2:$D$150,(INTOXICATE!$D$2:$D$150&lt;18)*(INTOXICATE!$D$2:$D$150&gt;=12)*(INTOXICATE!$W$2:$W$150&lt;&gt;INTOXICATE!$AB$6)),1)</f>
        <v>14</v>
      </c>
      <c r="C14" s="0" t="n">
        <f aca="false" t="array" ref="C14:C14">QUARTILE(_xlfn._xlws.FILTER(INTOXICATE!$D$2:$D$150,(INTOXICATE!$D$2:$D$150&lt;18)*(INTOXICATE!$D$2:$D$150&gt;=12)*(INTOXICATE!$W$2:$W$150&lt;&gt;INTOXICATE!$AB$6)),2)</f>
        <v>15</v>
      </c>
      <c r="D14" s="0" t="n">
        <f aca="false" t="array" ref="D14:D14">QUARTILE(_xlfn._xlws.FILTER(INTOXICATE!$D$2:$D$150,(INTOXICATE!$D$2:$D$150&lt;18)*(INTOXICATE!$D$2:$D$150&gt;=12)*(INTOXICATE!$W$2:$W$150&lt;&gt;INTOXICATE!$AB$6)),3)</f>
        <v>16</v>
      </c>
      <c r="I14" s="0" t="s">
        <v>855</v>
      </c>
      <c r="J14" s="0" t="n">
        <f aca="false">COUNTIFS(INTOXICATE!$D$2:$D$150,"&gt;=12",INTOXICATE!$Q$2:$Q$150,$I14,INTOXICATE!$W$2:$W$150,"&lt;&gt;"&amp;INTOXICATE!$AB$6)</f>
        <v>16</v>
      </c>
      <c r="K14" s="0" t="n">
        <f aca="false">$J14/SUM($J$13:$J$15)</f>
        <v>0.158415841584158</v>
      </c>
      <c r="L14" s="0" t="n">
        <f aca="false">COUNTIFS(INTOXICATE!$D$2:$D$150,"&gt;=12",INTOXICATE!$Q$2:$Q$150,$I14,INTOXICATE!$D$2:$D$150,"&gt;18",INTOXICATE!$W$2:$W$150,"&lt;&gt;"&amp;INTOXICATE!$AB$6)</f>
        <v>14</v>
      </c>
      <c r="M14" s="0" t="n">
        <f aca="false">COUNTIFS(INTOXICATE!$D$2:$D$150,"&gt;=12",INTOXICATE!$Q$2:$Q$150,$I14,INTOXICATE!$D$2:$D$150,"&lt;18", INTOXICATE!$D$2:$D$150,"&gt;=12",INTOXICATE!$W$2:$W$150,"&lt;&gt;"&amp;INTOXICATE!$AB$6)</f>
        <v>2</v>
      </c>
    </row>
    <row r="15" customFormat="false" ht="15" hidden="false" customHeight="false" outlineLevel="0" collapsed="false">
      <c r="I15" s="0" t="s">
        <v>856</v>
      </c>
      <c r="J15" s="0" t="n">
        <f aca="false">COUNTIFS(INTOXICATE!$D$2:$D$150,"&gt;=12",INTOXICATE!$Q$2:$Q$150,$I15,INTOXICATE!$W$2:$W$150,"&lt;&gt;"&amp;INTOXICATE!$AB$6)</f>
        <v>66</v>
      </c>
      <c r="K15" s="0" t="n">
        <f aca="false">$J15/SUM($J$13:$J$15)</f>
        <v>0.653465346534654</v>
      </c>
      <c r="L15" s="0" t="n">
        <f aca="false">COUNTIFS(INTOXICATE!$D$2:$D$150,"&gt;=12",INTOXICATE!$Q$2:$Q$150,$I15,INTOXICATE!$D$2:$D$150,"&gt;18",INTOXICATE!$W$2:$W$150,"&lt;&gt;"&amp;INTOXICATE!$AB$6)</f>
        <v>45</v>
      </c>
      <c r="M15" s="0" t="n">
        <f aca="false">COUNTIFS(INTOXICATE!$D$2:$D$150,"&gt;=12",INTOXICATE!$Q$2:$Q$150,$I15,INTOXICATE!$D$2:$D$150,"&lt;18", INTOXICATE!$D$2:$D$150,"&gt;=12",INTOXICATE!$W$2:$W$150,"&lt;&gt;"&amp;INTOXICATE!$AB$6)</f>
        <v>18</v>
      </c>
    </row>
    <row r="16" customFormat="false" ht="15" hidden="false" customHeight="false" outlineLevel="0" collapsed="false">
      <c r="A16" s="60" t="s">
        <v>829</v>
      </c>
      <c r="B16" s="0" t="s">
        <v>866</v>
      </c>
      <c r="C16" s="0" t="s">
        <v>853</v>
      </c>
      <c r="D16" s="0" t="s">
        <v>887</v>
      </c>
    </row>
    <row r="17" customFormat="false" ht="15" hidden="false" customHeight="false" outlineLevel="0" collapsed="false">
      <c r="A17" s="0" t="s">
        <v>1010</v>
      </c>
      <c r="B17" s="0" t="n">
        <f aca="false">COUNTIFS(
    INTOXICATE!$D$2:$D$150, "&gt;=18",
    INTOXICATE!$W$2:$W$150, "&lt;&gt;"&amp;INTOXICATE!$AB$6,
    INTOXICATE!$B$2:$B$150, B$16
)</f>
        <v>38</v>
      </c>
      <c r="C17" s="0" t="n">
        <f aca="false">COUNTIFS(
    INTOXICATE!$D$2:$D$150, "&gt;=18",
    INTOXICATE!$W$2:$W$150, "&lt;&gt;"&amp;INTOXICATE!$AB$6,
    INTOXICATE!$B$2:$B$150, C$16
)</f>
        <v>39</v>
      </c>
      <c r="D17" s="0" t="n">
        <f aca="false">COUNTIFS(
    INTOXICATE!$D$2:$D$150, "&gt;=18",
    INTOXICATE!$W$2:$W$150, "&lt;&gt;"&amp;INTOXICATE!$AB$6,
    INTOXICATE!$B$2:$B$150, D$16
)</f>
        <v>0</v>
      </c>
      <c r="P17" s="60" t="s">
        <v>1011</v>
      </c>
    </row>
    <row r="18" customFormat="false" ht="15" hidden="false" customHeight="false" outlineLevel="0" collapsed="false">
      <c r="A18" s="0" t="s">
        <v>916</v>
      </c>
      <c r="B18" s="0" t="n">
        <f aca="false">COUNTIFS(
    INTOXICATE!$D$2:$D$150, "&lt;18",
    INTOXICATE!$W$2:$W$150, "&lt;&gt;"&amp;INTOXICATE!$AB$6,
    INTOXICATE!$B$2:$B$150, B$16,
   INTOXICATE!$D$2:$D$150,"&gt;=12"
)</f>
        <v>10</v>
      </c>
      <c r="C18" s="0" t="n">
        <f aca="false">COUNTIFS(
    INTOXICATE!$D$2:$D$150, "&lt;18",
    INTOXICATE!$W$2:$W$150, "&lt;&gt;"&amp;INTOXICATE!$AB$6,
    INTOXICATE!$B$2:$B$150, C$16,
   INTOXICATE!$D$2:$D$150,"&gt;=12"
)</f>
        <v>13</v>
      </c>
      <c r="D18" s="0" t="n">
        <f aca="false">COUNTIFS(
    INTOXICATE!$D$2:$D$150, "&lt;18",
    INTOXICATE!$W$2:$W$150, "&lt;&gt;"&amp;INTOXICATE!$AB$6,
    INTOXICATE!$B$2:$B$150, D$16,
   INTOXICATE!$D$2:$D$150,"&gt;=12"
)</f>
        <v>1</v>
      </c>
      <c r="J18" s="60" t="s">
        <v>1012</v>
      </c>
      <c r="Q18" s="60" t="s">
        <v>1012</v>
      </c>
    </row>
    <row r="19" customFormat="false" ht="15" hidden="false" customHeight="false" outlineLevel="0" collapsed="false">
      <c r="J19" s="0" t="s">
        <v>892</v>
      </c>
      <c r="Q19" s="0" t="s">
        <v>892</v>
      </c>
    </row>
    <row r="20" customFormat="false" ht="15" hidden="false" customHeight="false" outlineLevel="0" collapsed="false">
      <c r="A20" s="60" t="s">
        <v>833</v>
      </c>
      <c r="I20" s="0" t="s">
        <v>872</v>
      </c>
      <c r="J20" s="0" t="s">
        <v>855</v>
      </c>
      <c r="K20" s="0" t="s">
        <v>856</v>
      </c>
      <c r="P20" s="0" t="s">
        <v>872</v>
      </c>
      <c r="Q20" s="0" t="s">
        <v>855</v>
      </c>
      <c r="R20" s="0" t="s">
        <v>856</v>
      </c>
    </row>
    <row r="21" customFormat="false" ht="15" hidden="false" customHeight="false" outlineLevel="0" collapsed="false">
      <c r="A21" s="0" t="s">
        <v>1010</v>
      </c>
      <c r="B21" s="0" t="n">
        <f aca="false" t="array" ref="B21:B21">QUARTILE(_xlfn._xlws.FILTER(INTOXICATE!$F$2:$F$150, (INTOXICATE!$D$2:$D$150&gt;=18)*(INTOXICATE!$W$2:$W$150&lt;&gt;INTOXICATE!$AB$6)),1)</f>
        <v>112</v>
      </c>
      <c r="C21" s="0" t="n">
        <f aca="false" t="array" ref="C21:C21">QUARTILE(_xlfn._xlws.FILTER(INTOXICATE!$F$2:$F$150, (INTOXICATE!$D$2:$D$150&gt;=18)*(INTOXICATE!$W$2:$W$150&lt;&gt;INTOXICATE!$AB$6)),2)</f>
        <v>120</v>
      </c>
      <c r="D21" s="0" t="n">
        <f aca="false" t="array" ref="D21:D21">QUARTILE(_xlfn._xlws.FILTER(INTOXICATE!$F$2:$F$150, (INTOXICATE!$D$2:$D$150&gt;=18)*(INTOXICATE!$W$2:$W$150&lt;&gt;INTOXICATE!$AB$6)),3)</f>
        <v>139</v>
      </c>
      <c r="H21" s="0" t="s">
        <v>855</v>
      </c>
      <c r="I21" s="0" t="n">
        <f aca="false">COUNTIFS(INTOXICATE!$W$2:$W$114,"&lt;&gt;"&amp;INTOXICATE!$AB$6,INTOXICATE!$D$2:$D$114,"&gt;=12",INTOXICATE!$N$2:$N$114,$H21,INTOXICATE!$Q$2:$Q$114,I$20)</f>
        <v>6</v>
      </c>
      <c r="J21" s="0" t="n">
        <f aca="false">COUNTIFS(INTOXICATE!$W$2:$W$114,"&lt;&gt;"&amp;INTOXICATE!$AB$6,INTOXICATE!$D$2:$D$114,"&gt;=12",INTOXICATE!$N$2:$N$114,$H21, INTOXICATE!$Q$2:$Q$114,J$20)</f>
        <v>4</v>
      </c>
      <c r="K21" s="0" t="n">
        <f aca="false">COUNTIFS(INTOXICATE!$W$2:$W$114,"&lt;&gt;"&amp;INTOXICATE!$AB$6,INTOXICATE!$D$2:$D$114,"&gt;=12",INTOXICATE!$N$2:$N$114,$H21, INTOXICATE!$Q$2:$Q$114,K$20)</f>
        <v>30</v>
      </c>
      <c r="O21" s="0" t="s">
        <v>855</v>
      </c>
      <c r="P21" s="0" t="n">
        <f aca="false">COUNTIFS(INTOXICATE!$W$2:$W$114,"&lt;&gt;"&amp;INTOXICATE!$AB$6,INTOXICATE!$D$2:$D$114,"&gt;=12",INTOXICATE!$M$2:$M$114,$H21,INTOXICATE!$Q$2:$Q$114,P$20)</f>
        <v>11</v>
      </c>
      <c r="Q21" s="0" t="n">
        <f aca="false">COUNTIFS(INTOXICATE!$W$2:$W$114,"&lt;&gt;"&amp;INTOXICATE!$AB$6,INTOXICATE!$D$2:$D$114,"&gt;=12",INTOXICATE!$M$2:$M$114,$H21,INTOXICATE!$Q$2:$Q$114,Q$20)</f>
        <v>15</v>
      </c>
      <c r="R21" s="0" t="n">
        <f aca="false">COUNTIFS(INTOXICATE!$W$2:$W$114,"&lt;&gt;"&amp;INTOXICATE!$AB$6,INTOXICATE!$D$2:$D$114,"&gt;=12",INTOXICATE!$M$2:$M$114,$H21,INTOXICATE!$Q$2:$Q$114,R$20)</f>
        <v>66</v>
      </c>
    </row>
    <row r="22" customFormat="false" ht="15" hidden="false" customHeight="false" outlineLevel="0" collapsed="false">
      <c r="A22" s="0" t="s">
        <v>916</v>
      </c>
      <c r="B22" s="0" t="n">
        <f aca="false" t="array" ref="B22:B22">QUARTILE(_xlfn._xlws.FILTER(INTOXICATE!$F$2:$F$150,(INTOXICATE!$D$2:$D$150&lt;18)*(INTOXICATE!$D$2:$D$150&gt;=12)*(INTOXICATE!$W$2:$W$150&lt;&gt;INTOXICATE!$AB$6)),1)</f>
        <v>105.75</v>
      </c>
      <c r="C22" s="0" t="n">
        <f aca="false" t="array" ref="C22:C22">QUARTILE(_xlfn._xlws.FILTER(INTOXICATE!$F$2:$F$150,(INTOXICATE!$D$2:$D$150&lt;18)*(INTOXICATE!$D$2:$D$150&gt;=12)*(INTOXICATE!$W$2:$W$150&lt;&gt;INTOXICATE!$AB$6)),2)</f>
        <v>116</v>
      </c>
      <c r="D22" s="0" t="n">
        <f aca="false" t="array" ref="D22:D22">QUARTILE(_xlfn._xlws.FILTER(INTOXICATE!$F$2:$F$150,(INTOXICATE!$D$2:$D$150&lt;18)*(INTOXICATE!$D$2:$D$150&gt;=12)*(INTOXICATE!$W$2:$W$150&lt;&gt;INTOXICATE!$AB$6)),3)</f>
        <v>119.25</v>
      </c>
      <c r="G22" s="0" t="s">
        <v>1013</v>
      </c>
      <c r="H22" s="0" t="s">
        <v>872</v>
      </c>
      <c r="I22" s="0" t="n">
        <f aca="false">COUNTIFS(INTOXICATE!$W$2:$W$114,"&lt;&gt;"&amp;INTOXICATE!$AB$6,INTOXICATE!$D$2:$D$114,"&gt;=12",INTOXICATE!$N$2:$N$114,$H22,INTOXICATE!$Q$2:$Q$114,I$20)</f>
        <v>13</v>
      </c>
      <c r="J22" s="0" t="n">
        <f aca="false">COUNTIFS(INTOXICATE!$W$2:$W$114,"&lt;&gt;"&amp;INTOXICATE!$AB$6,INTOXICATE!$D$2:$D$114,"&gt;=12",INTOXICATE!$N$2:$N$114,$H22, INTOXICATE!$Q$2:$Q$114,J$20)</f>
        <v>12</v>
      </c>
      <c r="K22" s="0" t="n">
        <f aca="false">COUNTIFS(INTOXICATE!$W$2:$W$114,"&lt;&gt;"&amp;INTOXICATE!$AB$6,INTOXICATE!$D$2:$D$114,"&gt;=12",INTOXICATE!$N$2:$N$114,$H22, INTOXICATE!$Q$2:$Q$114,K$20)</f>
        <v>36</v>
      </c>
      <c r="N22" s="0" t="s">
        <v>1013</v>
      </c>
      <c r="O22" s="0" t="s">
        <v>872</v>
      </c>
      <c r="P22" s="0" t="n">
        <f aca="false">COUNTIFS(INTOXICATE!$W$2:$W$114,"&lt;&gt;"&amp;INTOXICATE!$AB$6,INTOXICATE!$D$2:$D$114,"&gt;=12",INTOXICATE!$M$2:$M$114,$H22,INTOXICATE!$Q$2:$Q$114,P$20)</f>
        <v>8</v>
      </c>
      <c r="Q22" s="0" t="n">
        <f aca="false">COUNTIFS(INTOXICATE!$W$2:$W$114,"&lt;&gt;"&amp;INTOXICATE!$AB$6,INTOXICATE!$D$2:$D$114,"&gt;=12",INTOXICATE!$M$2:$M$114,$H22,INTOXICATE!$Q$2:$Q$114,Q$20)</f>
        <v>1</v>
      </c>
      <c r="R22" s="0" t="n">
        <f aca="false">COUNTIFS(INTOXICATE!$W$2:$W$114,"&lt;&gt;"&amp;INTOXICATE!$AB$6,INTOXICATE!$D$2:$D$114,"&gt;=12",INTOXICATE!$M$2:$M$114,$H22,INTOXICATE!$Q$2:$Q$114,R$20)</f>
        <v>0</v>
      </c>
    </row>
    <row r="24" customFormat="false" ht="15" hidden="false" customHeight="false" outlineLevel="0" collapsed="false">
      <c r="A24" s="60" t="s">
        <v>832</v>
      </c>
      <c r="L24" s="0" t="n">
        <f aca="false">39/77</f>
        <v>0.506493506493506</v>
      </c>
    </row>
    <row r="25" customFormat="false" ht="15" hidden="false" customHeight="false" outlineLevel="0" collapsed="false">
      <c r="A25" s="0" t="s">
        <v>1010</v>
      </c>
      <c r="B25" s="0" t="n">
        <f aca="false" t="array" ref="B25:B25">QUARTILE(_xlfn._xlws.FILTER(INTOXICATE!$E$2:$E$150, (INTOXICATE!$D$2:$D$150&gt;=18)*(INTOXICATE!$W$2:$W$150&lt;&gt;INTOXICATE!$AB$6)),1)</f>
        <v>71</v>
      </c>
      <c r="C25" s="0" t="n">
        <f aca="false" t="array" ref="C25:C25">QUARTILE(_xlfn._xlws.FILTER(INTOXICATE!$E$2:$E$150, (INTOXICATE!$D$2:$D$150&gt;=18)*(INTOXICATE!$W$2:$W$150&lt;&gt;INTOXICATE!$AB$6)),2)</f>
        <v>90</v>
      </c>
      <c r="D25" s="0" t="n">
        <f aca="false" t="array" ref="D25:D25">QUARTILE(_xlfn._xlws.FILTER(INTOXICATE!$E$2:$E$150, (INTOXICATE!$D$2:$D$150&gt;=18)*(INTOXICATE!$W$2:$W$150&lt;&gt;INTOXICATE!$AB$6)),3)</f>
        <v>106</v>
      </c>
      <c r="J25" s="60" t="s">
        <v>916</v>
      </c>
      <c r="Q25" s="60" t="s">
        <v>916</v>
      </c>
    </row>
    <row r="26" customFormat="false" ht="15" hidden="false" customHeight="false" outlineLevel="0" collapsed="false">
      <c r="A26" s="0" t="s">
        <v>916</v>
      </c>
      <c r="B26" s="0" t="n">
        <f aca="false" t="array" ref="B26:B26">QUARTILE(_xlfn._xlws.FILTER(INTOXICATE!$E$2:$E$150,(INTOXICATE!$D$2:$D$150&lt;18)*(INTOXICATE!$D$2:$D$150&gt;=12)*(INTOXICATE!$W$2:$W$150&lt;&gt;INTOXICATE!$AB$6)),1)</f>
        <v>88.75</v>
      </c>
      <c r="C26" s="0" t="n">
        <f aca="false" t="array" ref="C26:C26">QUARTILE(_xlfn._xlws.FILTER(INTOXICATE!$E$2:$E$150,(INTOXICATE!$D$2:$D$150&lt;18)*(INTOXICATE!$D$2:$D$150&gt;=12)*(INTOXICATE!$W$2:$W$150&lt;&gt;INTOXICATE!$AB$6)),2)</f>
        <v>99</v>
      </c>
      <c r="D26" s="0" t="n">
        <f aca="false" t="array" ref="D26:D26">QUARTILE(_xlfn._xlws.FILTER(INTOXICATE!$E$2:$E$150,(INTOXICATE!$D$2:$D$150&lt;18)*(INTOXICATE!$D$2:$D$150&gt;=12)*(INTOXICATE!$W$2:$W$150&lt;&gt;INTOXICATE!$AB$6)),3)</f>
        <v>110.25</v>
      </c>
      <c r="J26" s="0" t="s">
        <v>892</v>
      </c>
      <c r="Q26" s="0" t="s">
        <v>892</v>
      </c>
    </row>
    <row r="27" customFormat="false" ht="15" hidden="false" customHeight="false" outlineLevel="0" collapsed="false">
      <c r="I27" s="0" t="s">
        <v>872</v>
      </c>
      <c r="J27" s="0" t="s">
        <v>855</v>
      </c>
      <c r="K27" s="0" t="s">
        <v>856</v>
      </c>
      <c r="P27" s="0" t="s">
        <v>872</v>
      </c>
      <c r="Q27" s="0" t="s">
        <v>855</v>
      </c>
      <c r="R27" s="0" t="s">
        <v>856</v>
      </c>
    </row>
    <row r="28" customFormat="false" ht="15" hidden="false" customHeight="false" outlineLevel="0" collapsed="false">
      <c r="A28" s="60" t="s">
        <v>1014</v>
      </c>
      <c r="H28" s="0" t="s">
        <v>855</v>
      </c>
      <c r="I28" s="0" t="n">
        <f aca="false">COUNTIFS(INTOXICATE!$W$2:$W$114,"&lt;&gt;"&amp;INTOXICATE!$AB$6,INTOXICATE!$D$2:$D$114,"&gt;=12",INTOXICATE!$N$2:$N$114,$H28,INTOXICATE!$Q$2:$Q$114,I$20,INTOXICATE!$D$2:$D$114,"&lt;18")</f>
        <v>2</v>
      </c>
      <c r="J28" s="0" t="n">
        <f aca="false">COUNTIFS(INTOXICATE!$W$2:$W$114,"&lt;&gt;"&amp;INTOXICATE!$AB$6,INTOXICATE!$D$2:$D$114,"&gt;=12",INTOXICATE!$N$2:$N$114,$H28,INTOXICATE!$Q$2:$Q$114,J$20,INTOXICATE!$D$2:$D$114,"&lt;18")</f>
        <v>2</v>
      </c>
      <c r="K28" s="0" t="n">
        <f aca="false">COUNTIFS(INTOXICATE!$W$2:$W$114,"&lt;&gt;"&amp;INTOXICATE!$AB$6,INTOXICATE!$D$2:$D$114,"&gt;=12",INTOXICATE!$N$2:$N$114,$H28,INTOXICATE!$Q$2:$Q$114,K$20,INTOXICATE!$D$2:$D$114,"&lt;18")</f>
        <v>9</v>
      </c>
      <c r="O28" s="0" t="s">
        <v>855</v>
      </c>
      <c r="P28" s="0" t="n">
        <f aca="false">COUNTIFS(INTOXICATE!$W$2:$W$114,"&lt;&gt;"&amp;INTOXICATE!$AB$6,INTOXICATE!$D$2:$D$114,"&gt;=12",INTOXICATE!$M$2:$M$114,$H28,INTOXICATE!$Q$2:$Q$114,P$20,INTOXICATE!$D$2:$D$114,"&lt;18")</f>
        <v>3</v>
      </c>
      <c r="Q28" s="0" t="n">
        <f aca="false">COUNTIFS(INTOXICATE!$W$2:$W$114,"&lt;&gt;"&amp;INTOXICATE!$AB$6,INTOXICATE!$D$2:$D$114,"&gt;=12",INTOXICATE!$M$2:$M$114,$H28,INTOXICATE!$Q$2:$Q$114,Q$20,INTOXICATE!$D$2:$D$114,"&lt;18")</f>
        <v>2</v>
      </c>
      <c r="R28" s="0" t="n">
        <f aca="false">COUNTIFS(INTOXICATE!$W$2:$W$114,"&lt;&gt;"&amp;INTOXICATE!$AB$6,INTOXICATE!$D$2:$D$114,"&gt;=12",INTOXICATE!$M$2:$M$114,$H28,INTOXICATE!$Q$2:$Q$114,R$20,INTOXICATE!$D$2:$D$114,"&lt;18")</f>
        <v>18</v>
      </c>
    </row>
    <row r="29" customFormat="false" ht="15" hidden="false" customHeight="false" outlineLevel="0" collapsed="false">
      <c r="A29" s="0" t="s">
        <v>1015</v>
      </c>
      <c r="B29" s="0" t="n">
        <f aca="false">COUNTIFS(
    INTOXICATE!$D$2:$D$150, "&gt;=18",
    INTOXICATE!$W$2:$W$150, "&lt;&gt;"&amp;INTOXICATE!$AB$6,
    INTOXICATE!$H$2:$H$150, "Yes"
)</f>
        <v>16</v>
      </c>
      <c r="C29" s="0" t="n">
        <f aca="false">COUNTIFS(
    INTOXICATE!$D$2:$D$150, "&lt;18",
  INTOXICATE!$D$2:$D$150,"&gt;=12",
    INTOXICATE!$W$2:$W$150, "&lt;&gt;"&amp;INTOXICATE!$AB$6,
    INTOXICATE!$H$2:$H$150, "Yes"
)</f>
        <v>2</v>
      </c>
      <c r="G29" s="0" t="s">
        <v>1013</v>
      </c>
      <c r="H29" s="0" t="s">
        <v>872</v>
      </c>
      <c r="I29" s="0" t="n">
        <f aca="false">COUNTIFS(INTOXICATE!$W$2:$W$114,"&lt;&gt;"&amp;INTOXICATE!$AB$6,INTOXICATE!$D$2:$D$114,"&gt;=12",INTOXICATE!$N$2:$N$114,$H29,INTOXICATE!$Q$2:$Q$114,I$20,INTOXICATE!$D$2:$D$114,"&lt;18")</f>
        <v>2</v>
      </c>
      <c r="J29" s="0" t="n">
        <f aca="false">COUNTIFS(INTOXICATE!$W$2:$W$114,"&lt;&gt;"&amp;INTOXICATE!$AB$6,INTOXICATE!$D$2:$D$114,"&gt;=12",INTOXICATE!$N$2:$N$114,$H29,INTOXICATE!$Q$2:$Q$114,J$20,INTOXICATE!$D$2:$D$114,"&lt;18")</f>
        <v>0</v>
      </c>
      <c r="K29" s="0" t="n">
        <f aca="false">COUNTIFS(INTOXICATE!$W$2:$W$114,"&lt;&gt;"&amp;INTOXICATE!$AB$6,INTOXICATE!$D$2:$D$114,"&gt;=12",INTOXICATE!$N$2:$N$114,$H29,INTOXICATE!$Q$2:$Q$114,K$20,INTOXICATE!$D$2:$D$114,"&lt;18")</f>
        <v>9</v>
      </c>
      <c r="N29" s="0" t="s">
        <v>1013</v>
      </c>
      <c r="O29" s="0" t="s">
        <v>872</v>
      </c>
      <c r="P29" s="0" t="n">
        <f aca="false">COUNTIFS(INTOXICATE!$W$2:$W$114,"&lt;&gt;"&amp;INTOXICATE!$AB$6,INTOXICATE!$D$2:$D$114,"&gt;=12",INTOXICATE!$M$2:$M$114,$H29,INTOXICATE!$Q$2:$Q$114,P$20,INTOXICATE!$D$2:$D$114,"&lt;18")</f>
        <v>1</v>
      </c>
      <c r="Q29" s="0" t="n">
        <f aca="false">COUNTIFS(INTOXICATE!$W$2:$W$114,"&lt;&gt;"&amp;INTOXICATE!$AB$6,INTOXICATE!$D$2:$D$114,"&gt;=12",INTOXICATE!$M$2:$M$114,$H29,INTOXICATE!$Q$2:$Q$114,Q$20,INTOXICATE!$D$2:$D$114,"&lt;18")</f>
        <v>0</v>
      </c>
      <c r="R29" s="0" t="n">
        <f aca="false">COUNTIFS(INTOXICATE!$W$2:$W$114,"&lt;&gt;"&amp;INTOXICATE!$AB$6,INTOXICATE!$D$2:$D$114,"&gt;=12",INTOXICATE!$M$2:$M$114,$H29,INTOXICATE!$Q$2:$Q$114,R$20,INTOXICATE!$D$2:$D$114,"&lt;18")</f>
        <v>0</v>
      </c>
    </row>
    <row r="30" customFormat="false" ht="15" hidden="false" customHeight="false" outlineLevel="0" collapsed="false">
      <c r="A30" s="0" t="s">
        <v>836</v>
      </c>
      <c r="B30" s="0" t="n">
        <f aca="false">COUNTIFS(
    INTOXICATE!$D$2:$D$150, "&gt;=18",
    INTOXICATE!$W$2:$W$150, "&lt;&gt;"&amp;INTOXICATE!$AB$6,
    INTOXICATE!$I$2:$I$150, "Yes"
)</f>
        <v>2</v>
      </c>
      <c r="C30" s="0" t="n">
        <f aca="false">COUNTIFS(
    INTOXICATE!$D$2:$D$150, "&lt;18",
  INTOXICATE!$D$2:$D$150,"&gt;=12",
    INTOXICATE!$W$2:$W$150, "&lt;&gt;"&amp;INTOXICATE!$AB$6,
    INTOXICATE!$I$2:$I$150, "Yes"
)</f>
        <v>0</v>
      </c>
    </row>
    <row r="31" customFormat="false" ht="15" hidden="false" customHeight="false" outlineLevel="0" collapsed="false">
      <c r="A31" s="0" t="s">
        <v>837</v>
      </c>
      <c r="B31" s="0" t="n">
        <f aca="false">COUNTIFS(
    INTOXICATE!$D$2:$D$150, "&gt;=18",
    INTOXICATE!$W$2:$W$150, "&lt;&gt;"&amp;INTOXICATE!$AB$6,
    INTOXICATE!$J$2:$J$150, "Yes"
)</f>
        <v>28</v>
      </c>
      <c r="C31" s="0" t="n">
        <f aca="false">COUNTIFS(
    INTOXICATE!$D$2:$D$150, "&lt;18",
  INTOXICATE!$D$2:$D$150,"&gt;=12",
    INTOXICATE!$W$2:$W$150, "&lt;&gt;"&amp;INTOXICATE!$AB$6,
    INTOXICATE!$J$2:$J$150, "Yes"
)</f>
        <v>12</v>
      </c>
      <c r="J31" s="60" t="s">
        <v>1010</v>
      </c>
      <c r="Q31" s="60" t="s">
        <v>1010</v>
      </c>
    </row>
    <row r="32" customFormat="false" ht="15" hidden="false" customHeight="false" outlineLevel="0" collapsed="false">
      <c r="A32" s="0" t="s">
        <v>1016</v>
      </c>
      <c r="B32" s="0" t="n">
        <f aca="false">COUNTIFS(
    INTOXICATE!$D$2:$D$150, "&gt;=18",
    INTOXICATE!$W$2:$W$150, "&lt;&gt;"&amp;INTOXICATE!$AB$6,
    INTOXICATE!$K$2:$K$150, "Yes"
)</f>
        <v>1</v>
      </c>
      <c r="C32" s="0" t="n">
        <f aca="false">COUNTIFS(
    INTOXICATE!$D$2:$D$150, "&lt;18",
  INTOXICATE!$D$2:$D$150,"&gt;=12",
    INTOXICATE!$W$2:$W$150, "&lt;&gt;"&amp;INTOXICATE!$AB$6,
    INTOXICATE!$K$2:$K$150, "Yes"
)</f>
        <v>0</v>
      </c>
      <c r="J32" s="0" t="s">
        <v>892</v>
      </c>
      <c r="Q32" s="0" t="s">
        <v>892</v>
      </c>
    </row>
    <row r="33" customFormat="false" ht="15" hidden="false" customHeight="false" outlineLevel="0" collapsed="false">
      <c r="B33" s="0" t="s">
        <v>1010</v>
      </c>
      <c r="C33" s="0" t="s">
        <v>916</v>
      </c>
      <c r="I33" s="0" t="s">
        <v>872</v>
      </c>
      <c r="J33" s="0" t="s">
        <v>855</v>
      </c>
      <c r="K33" s="0" t="s">
        <v>856</v>
      </c>
      <c r="P33" s="0" t="s">
        <v>872</v>
      </c>
      <c r="Q33" s="0" t="s">
        <v>855</v>
      </c>
      <c r="R33" s="0" t="s">
        <v>856</v>
      </c>
    </row>
    <row r="34" customFormat="false" ht="15" hidden="false" customHeight="false" outlineLevel="0" collapsed="false">
      <c r="H34" s="0" t="s">
        <v>855</v>
      </c>
      <c r="I34" s="0" t="n">
        <f aca="false">COUNTIFS(INTOXICATE!$W$2:$W$114,"&lt;&gt;"&amp;INTOXICATE!$AB$6,INTOXICATE!$D$2:$D$114,"&gt;=12",INTOXICATE!$N$2:$N$114,$H34,INTOXICATE!$Q$2:$Q$114,I$20,INTOXICATE!$D$2:$D$114,"&gt;18")</f>
        <v>4</v>
      </c>
      <c r="J34" s="0" t="n">
        <f aca="false">COUNTIFS(INTOXICATE!$W$2:$W$114,"&lt;&gt;"&amp;INTOXICATE!$AB$6,INTOXICATE!$D$2:$D$114,"&gt;=12",INTOXICATE!$N$2:$N$114,$H34,INTOXICATE!$Q$2:$Q$114,J$20,INTOXICATE!$D$2:$D$114,"&gt;18")</f>
        <v>2</v>
      </c>
      <c r="K34" s="0" t="n">
        <f aca="false">COUNTIFS(INTOXICATE!$W$2:$W$114,"&lt;&gt;"&amp;INTOXICATE!$AB$6,
                       INTOXICATE!$D$2:$D$114,"&gt;=12",
                       INTOXICATE!$N$2:$N$114,$H34,
                      INTOXICATE!$Q$2:$Q$114,K$20,
                      INTOXICATE!$D$2:$D$114,"&gt;18")</f>
        <v>19</v>
      </c>
      <c r="O34" s="0" t="s">
        <v>855</v>
      </c>
      <c r="P34" s="0" t="n">
        <f aca="false">COUNTIFS(INTOXICATE!$W$2:$W$114,"&lt;&gt;"&amp;INTOXICATE!$AB$6,INTOXICATE!$D$2:$D$114,"&gt;=12",INTOXICATE!$M$2:$M$114,$H34,INTOXICATE!$Q$2:$Q$114,P$20,INTOXICATE!$D$2:$D$114,"&gt;18")</f>
        <v>8</v>
      </c>
      <c r="Q34" s="0" t="n">
        <f aca="false">COUNTIFS(INTOXICATE!$W$2:$W$114,"&lt;&gt;"&amp;INTOXICATE!$AB$6,INTOXICATE!$D$2:$D$114,"&gt;=12",INTOXICATE!$M$2:$M$114,$H34,INTOXICATE!$Q$2:$Q$114,Q$20,INTOXICATE!$D$2:$D$114,"&gt;18")</f>
        <v>13</v>
      </c>
      <c r="R34" s="0" t="n">
        <f aca="false">COUNTIFS(INTOXICATE!$W$2:$W$114,"&lt;&gt;"&amp;INTOXICATE!$AB$6,INTOXICATE!$D$2:$D$114,"&gt;=12",INTOXICATE!$M$2:$M$114,$H34,INTOXICATE!$Q$2:$Q$114,R$20,INTOXICATE!$D$2:$D$114,"&gt;18")</f>
        <v>45</v>
      </c>
    </row>
    <row r="35" customFormat="false" ht="15" hidden="false" customHeight="false" outlineLevel="0" collapsed="false">
      <c r="A35" s="60" t="s">
        <v>834</v>
      </c>
      <c r="G35" s="0" t="s">
        <v>1013</v>
      </c>
      <c r="H35" s="0" t="s">
        <v>872</v>
      </c>
      <c r="I35" s="0" t="n">
        <f aca="false">COUNTIFS(INTOXICATE!$W$2:$W$114,"&lt;&gt;"&amp;INTOXICATE!$AB$6,INTOXICATE!$D$2:$D$114,"&gt;=12",INTOXICATE!$N$2:$N$114,$H35,INTOXICATE!$Q$2:$Q$114,I$20,INTOXICATE!$D$2:$D$114,"&gt;18")</f>
        <v>11</v>
      </c>
      <c r="J35" s="0" t="n">
        <f aca="false">COUNTIFS(INTOXICATE!$W$2:$W$114,"&lt;&gt;"&amp;INTOXICATE!$AB$6,INTOXICATE!$D$2:$D$114,"&gt;=12",INTOXICATE!$N$2:$N$114,$H35,INTOXICATE!$Q$2:$Q$114,J$20,INTOXICATE!$D$2:$D$114,"&gt;18")</f>
        <v>12</v>
      </c>
      <c r="K35" s="0" t="n">
        <f aca="false">COUNTIFS(INTOXICATE!$W$2:$W$114,"&lt;&gt;"&amp;INTOXICATE!$AB$6,
                       INTOXICATE!$D$2:$D$114,"&gt;=12",
                       INTOXICATE!$N$2:$N$114,$H35,
                      INTOXICATE!$Q$2:$Q$114,K$20,
                      INTOXICATE!$D$2:$D$114,"&gt;18")</f>
        <v>26</v>
      </c>
      <c r="N35" s="0" t="s">
        <v>1013</v>
      </c>
      <c r="O35" s="0" t="s">
        <v>872</v>
      </c>
      <c r="P35" s="0" t="n">
        <f aca="false">COUNTIFS(INTOXICATE!$W$2:$W$114,"&lt;&gt;"&amp;INTOXICATE!$AB$6,INTOXICATE!$D$2:$D$114,"&gt;=12",INTOXICATE!$M$2:$M$114,$H35,INTOXICATE!$Q$2:$Q$114,P$20,INTOXICATE!$D$2:$D$114,"&gt;18")</f>
        <v>7</v>
      </c>
      <c r="Q35" s="0" t="n">
        <f aca="false">COUNTIFS(INTOXICATE!$W$2:$W$114,"&lt;&gt;"&amp;INTOXICATE!$AB$6,INTOXICATE!$D$2:$D$114,"&gt;=12",INTOXICATE!$M$2:$M$114,$H35,INTOXICATE!$Q$2:$Q$114,Q$20,INTOXICATE!$D$2:$D$114,"&gt;18")</f>
        <v>1</v>
      </c>
      <c r="R35" s="0" t="n">
        <f aca="false">COUNTIFS(INTOXICATE!$W$2:$W$114,"&lt;&gt;"&amp;INTOXICATE!$AB$6,INTOXICATE!$D$2:$D$114,"&gt;=12",INTOXICATE!$M$2:$M$114,$H35,INTOXICATE!$Q$2:$Q$114,R$20,INTOXICATE!$D$2:$D$114,"&gt;18")</f>
        <v>0</v>
      </c>
    </row>
    <row r="36" customFormat="false" ht="15" hidden="false" customHeight="false" outlineLevel="0" collapsed="false">
      <c r="A36" s="0" t="n">
        <v>3</v>
      </c>
      <c r="B36" s="0" t="n">
        <f aca="false">COUNTIFS(
    INTOXICATE!$D$2:$D$150, "&gt;=18",
    INTOXICATE!$W$2:$W$150, "&lt;&gt;"&amp;INTOXICATE!$AB$6,
    INTOXICATE!$G$2:$G$150,  $A36
)</f>
        <v>3</v>
      </c>
      <c r="C36" s="0" t="n">
        <f aca="false">COUNTIFS(
    INTOXICATE!$D$2:$D$150, "&lt;18",
    INTOXICATE!$D$2:$D$150, "&gt;=12",
    INTOXICATE!$W$2:$W$150, "&lt;&gt;"&amp;INTOXICATE!$AB$6,
    INTOXICATE!$G$2:$G$150,  $A36
)</f>
        <v>0</v>
      </c>
      <c r="I36" s="0" t="n">
        <f aca="false">SUM(I34:I35)</f>
        <v>15</v>
      </c>
      <c r="J36" s="0" t="n">
        <f aca="false">SUM(J34:J35)</f>
        <v>14</v>
      </c>
      <c r="K36" s="0" t="n">
        <f aca="false">SUM(K34:K35)</f>
        <v>45</v>
      </c>
      <c r="P36" s="0" t="n">
        <f aca="false">SUM(P34:P35)</f>
        <v>15</v>
      </c>
      <c r="Q36" s="0" t="n">
        <f aca="false">SUM(Q34:Q35)</f>
        <v>14</v>
      </c>
      <c r="R36" s="0" t="n">
        <f aca="false">SUM(R34:R35)</f>
        <v>45</v>
      </c>
    </row>
    <row r="37" customFormat="false" ht="15" hidden="false" customHeight="false" outlineLevel="0" collapsed="false">
      <c r="A37" s="0" t="n">
        <v>5</v>
      </c>
      <c r="B37" s="0" t="n">
        <f aca="false">COUNTIFS(
    INTOXICATE!$D$2:$D$150, "&gt;=18",
    INTOXICATE!$W$2:$W$150, "&lt;&gt;"&amp;INTOXICATE!$AB$6,
    INTOXICATE!$G$2:$G$150,  $A37
)</f>
        <v>1</v>
      </c>
      <c r="C37" s="0" t="n">
        <f aca="false">COUNTIFS(
    INTOXICATE!$D$2:$D$150, "&lt;18",
    INTOXICATE!$D$2:$D$150, "&gt;=12",
    INTOXICATE!$W$2:$W$150, "&lt;&gt;"&amp;INTOXICATE!$AB$6,
    INTOXICATE!$G$2:$G$150,  $A37
)</f>
        <v>0</v>
      </c>
      <c r="I37" s="0" t="n">
        <f aca="false">I36/SUM($I$36:$K$36)</f>
        <v>0.202702702702703</v>
      </c>
      <c r="J37" s="0" t="n">
        <f aca="false">J36/SUM($I$36:$K$36)</f>
        <v>0.189189189189189</v>
      </c>
      <c r="K37" s="0" t="n">
        <f aca="false">K36/SUM($I$36:$K$36)</f>
        <v>0.608108108108108</v>
      </c>
    </row>
    <row r="38" customFormat="false" ht="15" hidden="false" customHeight="false" outlineLevel="0" collapsed="false">
      <c r="A38" s="0" t="n">
        <v>10</v>
      </c>
      <c r="B38" s="0" t="n">
        <f aca="false">COUNTIFS(
    INTOXICATE!$D$2:$D$150, "&gt;=18",
    INTOXICATE!$W$2:$W$150, "&lt;&gt;"&amp;INTOXICATE!$AB$6,
    INTOXICATE!$G$2:$G$150,  $A38
)</f>
        <v>0</v>
      </c>
      <c r="C38" s="0" t="n">
        <f aca="false">COUNTIFS(
    INTOXICATE!$D$2:$D$150, "&lt;18",
    INTOXICATE!$D$2:$D$150, "&gt;=12",
    INTOXICATE!$W$2:$W$150, "&lt;&gt;"&amp;INTOXICATE!$AB$6,
    INTOXICATE!$G$2:$G$150,  $A38
)</f>
        <v>3</v>
      </c>
    </row>
    <row r="39" customFormat="false" ht="15" hidden="false" customHeight="false" outlineLevel="0" collapsed="false">
      <c r="A39" s="0" t="n">
        <v>11</v>
      </c>
      <c r="B39" s="0" t="n">
        <f aca="false">COUNTIFS(
    INTOXICATE!$D$2:$D$150, "&gt;=18",
    INTOXICATE!$W$2:$W$150, "&lt;&gt;"&amp;INTOXICATE!$AB$6,
    INTOXICATE!$G$2:$G$150,  $A39
)</f>
        <v>1</v>
      </c>
      <c r="C39" s="0" t="n">
        <f aca="false">COUNTIFS(
    INTOXICATE!$D$2:$D$150, "&lt;18",
    INTOXICATE!$D$2:$D$150, "&gt;=12",
    INTOXICATE!$W$2:$W$150, "&lt;&gt;"&amp;INTOXICATE!$AB$6,
    INTOXICATE!$G$2:$G$150,  $A39
)</f>
        <v>0</v>
      </c>
    </row>
    <row r="40" customFormat="false" ht="15" hidden="false" customHeight="false" outlineLevel="0" collapsed="false">
      <c r="A40" s="0" t="n">
        <v>12</v>
      </c>
      <c r="B40" s="0" t="n">
        <f aca="false">COUNTIFS(
    INTOXICATE!$D$2:$D$150, "&gt;=18",
    INTOXICATE!$W$2:$W$150, "&lt;&gt;"&amp;INTOXICATE!$AB$6,
    INTOXICATE!$G$2:$G$150,  $A40
)</f>
        <v>1</v>
      </c>
      <c r="C40" s="0" t="n">
        <f aca="false">COUNTIFS(
    INTOXICATE!$D$2:$D$150, "&lt;18",
    INTOXICATE!$D$2:$D$150, "&gt;=12",
    INTOXICATE!$W$2:$W$150, "&lt;&gt;"&amp;INTOXICATE!$AB$6,
    INTOXICATE!$G$2:$G$150,  $A40
)</f>
        <v>0</v>
      </c>
    </row>
    <row r="41" customFormat="false" ht="15" hidden="false" customHeight="false" outlineLevel="0" collapsed="false">
      <c r="A41" s="0" t="n">
        <v>13</v>
      </c>
      <c r="B41" s="0" t="n">
        <f aca="false">COUNTIFS(
    INTOXICATE!$D$2:$D$150, "&gt;=18",
    INTOXICATE!$W$2:$W$150, "&lt;&gt;"&amp;INTOXICATE!$AB$6,
    INTOXICATE!$G$2:$G$150,  $A41
)</f>
        <v>2</v>
      </c>
      <c r="C41" s="0" t="n">
        <f aca="false">COUNTIFS(
    INTOXICATE!$D$2:$D$150, "&lt;18",
    INTOXICATE!$D$2:$D$150, "&gt;=12",
    INTOXICATE!$W$2:$W$150, "&lt;&gt;"&amp;INTOXICATE!$AB$6,
    INTOXICATE!$G$2:$G$150,  $A41
)</f>
        <v>0</v>
      </c>
    </row>
    <row r="42" customFormat="false" ht="15" hidden="false" customHeight="false" outlineLevel="0" collapsed="false">
      <c r="A42" s="0" t="n">
        <v>14</v>
      </c>
      <c r="B42" s="0" t="n">
        <f aca="false">COUNTIFS(
    INTOXICATE!$D$2:$D$150, "&gt;=18",
    INTOXICATE!$W$2:$W$150, "&lt;&gt;"&amp;INTOXICATE!$AB$6,
    INTOXICATE!$G$2:$G$150,  $A42
)</f>
        <v>2</v>
      </c>
      <c r="C42" s="0" t="n">
        <f aca="false">COUNTIFS(
    INTOXICATE!$D$2:$D$150, "&lt;18",
    INTOXICATE!$D$2:$D$150, "&gt;=12",
    INTOXICATE!$W$2:$W$150, "&lt;&gt;"&amp;INTOXICATE!$AB$6,
    INTOXICATE!$G$2:$G$150,  $A42
)</f>
        <v>3</v>
      </c>
      <c r="G42" s="0" t="s">
        <v>935</v>
      </c>
      <c r="I42" s="0" t="s">
        <v>1017</v>
      </c>
      <c r="K42" s="0" t="s">
        <v>1013</v>
      </c>
    </row>
    <row r="43" customFormat="false" ht="15" hidden="false" customHeight="false" outlineLevel="0" collapsed="false">
      <c r="A43" s="0" t="n">
        <v>15</v>
      </c>
      <c r="B43" s="0" t="n">
        <f aca="false">COUNTIFS(
    INTOXICATE!$D$2:$D$150, "&gt;=18",
    INTOXICATE!$W$2:$W$150, "&lt;&gt;"&amp;INTOXICATE!$AB$6,
    INTOXICATE!$G$2:$G$150,  $A43
)</f>
        <v>67</v>
      </c>
      <c r="C43" s="0" t="n">
        <f aca="false">COUNTIFS(
    INTOXICATE!$D$2:$D$150, "&lt;18",
    INTOXICATE!$D$2:$D$150, "&gt;=12",
    INTOXICATE!$W$2:$W$150, "&lt;&gt;"&amp;INTOXICATE!$AB$6,
    INTOXICATE!$G$2:$G$150,  $A43
)</f>
        <v>18</v>
      </c>
      <c r="H43" s="0" t="s">
        <v>731</v>
      </c>
      <c r="I43" s="0" t="s">
        <v>138</v>
      </c>
      <c r="K43" s="0" t="s">
        <v>731</v>
      </c>
      <c r="L43" s="0" t="s">
        <v>138</v>
      </c>
    </row>
    <row r="44" customFormat="false" ht="15" hidden="false" customHeight="false" outlineLevel="0" collapsed="false">
      <c r="G44" s="0" t="s">
        <v>731</v>
      </c>
      <c r="H44" s="0" t="n">
        <f aca="false">COUNTIFS(INTOXICATE!$Q$2:$Q$115,"ICU",INTOXICATE!$U$2:$U$115,$G44)</f>
        <v>11</v>
      </c>
      <c r="I44" s="0" t="n">
        <f aca="false">COUNTIFS(INTOXICATE!$Q$2:$Q$115,"&lt;&gt;ICU",INTOXICATE!$U$2:$U$115,$G44)</f>
        <v>1</v>
      </c>
      <c r="K44" s="0" t="n">
        <f aca="false">COUNTIFS(INTOXICATE!$M$2:$M$115,"ICU",INTOXICATE!$U$2:$U$115,$G44)</f>
        <v>7</v>
      </c>
      <c r="L44" s="0" t="n">
        <f aca="false">COUNTIFS(INTOXICATE!$M$2:$M$115,"&lt;&gt;ICU",INTOXICATE!$U$2:$U$115,$G44)</f>
        <v>5</v>
      </c>
    </row>
    <row r="45" customFormat="false" ht="15" hidden="false" customHeight="false" outlineLevel="0" collapsed="false">
      <c r="A45" s="60" t="s">
        <v>1018</v>
      </c>
      <c r="G45" s="0" t="s">
        <v>138</v>
      </c>
      <c r="H45" s="0" t="n">
        <f aca="false">COUNTIFS(INTOXICATE!$Q$2:$Q$115,"ICU",INTOXICATE!$U$2:$U$115,$G45)</f>
        <v>3</v>
      </c>
      <c r="I45" s="0" t="n">
        <f aca="false">COUNTIFS(INTOXICATE!$Q$2:$Q$115,"&lt;&gt;ICU",INTOXICATE!$U$2:$U$115,$G45)</f>
        <v>81</v>
      </c>
      <c r="K45" s="0" t="n">
        <f aca="false">COUNTIFS(INTOXICATE!$M$2:$M$115,"ICU",INTOXICATE!$U$2:$U$115,$G45)</f>
        <v>2</v>
      </c>
      <c r="L45" s="0" t="n">
        <f aca="false">COUNTIFS(INTOXICATE!$M$2:$M$115,"&lt;&gt;ICU",INTOXICATE!$U$2:$U$115,$G45)</f>
        <v>82</v>
      </c>
    </row>
    <row r="46" customFormat="false" ht="15" hidden="false" customHeight="false" outlineLevel="0" collapsed="false">
      <c r="A46" s="0" t="str">
        <f aca="false">INTOXICATE!AA3</f>
        <v>Alcohol</v>
      </c>
      <c r="B46" s="0" t="n">
        <f aca="false">COUNTIFS(
    INTOXICATE!$D$2:$D$150, "&gt;=18",
    INTOXICATE!$W$2:$W$150, "&lt;&gt;"&amp;INTOXICATE!$AB$6,
    INTOXICATE!$C$2:$C$150,  $A46
)</f>
        <v>4</v>
      </c>
      <c r="C46" s="0" t="n">
        <f aca="false">COUNTIFS(
    INTOXICATE!$D$2:$D$150, "&lt;18",
    INTOXICATE!$D$2:$D$150, "&gt;=12",
    INTOXICATE!$W$2:$W$150, "&lt;&gt;"&amp;INTOXICATE!$AB$6,
    INTOXICATE!$C$2:$C$150,  $A46
)</f>
        <v>2</v>
      </c>
      <c r="D46" s="0" t="n">
        <f aca="false">B46/77</f>
        <v>0.051948051948052</v>
      </c>
      <c r="E46" s="0" t="n">
        <f aca="false">C46/24</f>
        <v>0.0833333333333333</v>
      </c>
    </row>
    <row r="47" customFormat="false" ht="15" hidden="false" customHeight="false" outlineLevel="0" collapsed="false">
      <c r="A47" s="0" t="str">
        <f aca="false">INTOXICATE!AA4</f>
        <v>Analgesic</v>
      </c>
      <c r="B47" s="0" t="n">
        <f aca="false">COUNTIFS(
    INTOXICATE!$D$2:$D$150, "&gt;=18",
    INTOXICATE!$W$2:$W$150, "&lt;&gt;"&amp;INTOXICATE!$AB$6,
    INTOXICATE!$C$2:$C$150,  $A47
)</f>
        <v>11</v>
      </c>
      <c r="C47" s="0" t="n">
        <f aca="false">COUNTIFS(
    INTOXICATE!$D$2:$D$150, "&lt;18",
    INTOXICATE!$D$2:$D$150, "&gt;=12",
    INTOXICATE!$W$2:$W$150, "&lt;&gt;"&amp;INTOXICATE!$AB$6,
    INTOXICATE!$C$2:$C$150,  $A47
)</f>
        <v>6</v>
      </c>
      <c r="D47" s="0" t="n">
        <f aca="false">B47/77</f>
        <v>0.142857142857143</v>
      </c>
      <c r="E47" s="0" t="n">
        <f aca="false">C47/24</f>
        <v>0.25</v>
      </c>
      <c r="N47" s="0" t="s">
        <v>1019</v>
      </c>
    </row>
    <row r="48" customFormat="false" ht="15" hidden="false" customHeight="false" outlineLevel="0" collapsed="false">
      <c r="A48" s="0" t="str">
        <f aca="false">INTOXICATE!AA5</f>
        <v>Antidepressants</v>
      </c>
      <c r="B48" s="0" t="n">
        <f aca="false">COUNTIFS(
    INTOXICATE!$D$2:$D$150, "&gt;=18",
    INTOXICATE!$W$2:$W$150, "&lt;&gt;"&amp;INTOXICATE!$AB$6,
    INTOXICATE!$C$2:$C$150,  $A48
)</f>
        <v>11</v>
      </c>
      <c r="C48" s="0" t="n">
        <f aca="false">COUNTIFS(
    INTOXICATE!$D$2:$D$150, "&lt;18",
    INTOXICATE!$D$2:$D$150, "&gt;=12",
    INTOXICATE!$W$2:$W$150, "&lt;&gt;"&amp;INTOXICATE!$AB$6,
    INTOXICATE!$C$2:$C$150,  $A48
)</f>
        <v>6</v>
      </c>
      <c r="D48" s="0" t="n">
        <f aca="false">B48/77</f>
        <v>0.142857142857143</v>
      </c>
      <c r="E48" s="0" t="n">
        <f aca="false">C48/24</f>
        <v>0.25</v>
      </c>
      <c r="N48" s="0" t="s">
        <v>1013</v>
      </c>
    </row>
    <row r="49" customFormat="false" ht="15" hidden="false" customHeight="false" outlineLevel="0" collapsed="false">
      <c r="A49" s="0" t="str">
        <f aca="false">INTOXICATE!AA6</f>
        <v>Street Drugs</v>
      </c>
      <c r="B49" s="0" t="n">
        <f aca="false">COUNTIFS(
    INTOXICATE!$D$2:$D$150, "&gt;=18",
    INTOXICATE!$W$2:$W$150, "&lt;&gt;"&amp;INTOXICATE!$AB$6,
    INTOXICATE!$C$2:$C$150,  $A49
)</f>
        <v>10</v>
      </c>
      <c r="C49" s="0" t="n">
        <f aca="false">COUNTIFS(
    INTOXICATE!$D$2:$D$150, "&lt;18",
    INTOXICATE!$D$2:$D$150, "&gt;=12",
    INTOXICATE!$W$2:$W$150, "&lt;&gt;"&amp;INTOXICATE!$AB$6,
    INTOXICATE!$C$2:$C$150,  $A49
)</f>
        <v>5</v>
      </c>
      <c r="D49" s="0" t="n">
        <f aca="false">B49/77</f>
        <v>0.12987012987013</v>
      </c>
      <c r="E49" s="0" t="n">
        <f aca="false">C49/24</f>
        <v>0.208333333333333</v>
      </c>
      <c r="N49" s="0" t="s">
        <v>731</v>
      </c>
      <c r="O49" s="0" t="s">
        <v>138</v>
      </c>
    </row>
    <row r="50" customFormat="false" ht="15" hidden="false" customHeight="false" outlineLevel="0" collapsed="false">
      <c r="A50" s="0" t="str">
        <f aca="false">INTOXICATE!AA7</f>
        <v>Sedatives</v>
      </c>
      <c r="B50" s="0" t="n">
        <f aca="false">COUNTIFS(
    INTOXICATE!$D$2:$D$150, "&gt;=18",
    INTOXICATE!$W$2:$W$150, "&lt;&gt;"&amp;INTOXICATE!$AB$6,
    INTOXICATE!$C$2:$C$150,  $A50
)</f>
        <v>6</v>
      </c>
      <c r="C50" s="0" t="n">
        <f aca="false">COUNTIFS(
    INTOXICATE!$D$2:$D$150, "&lt;18",
    INTOXICATE!$D$2:$D$150, "&gt;=12",
    INTOXICATE!$W$2:$W$150, "&lt;&gt;"&amp;INTOXICATE!$AB$6,
    INTOXICATE!$C$2:$C$150,  $A50
)</f>
        <v>0</v>
      </c>
      <c r="D50" s="0" t="n">
        <f aca="false">B50/77</f>
        <v>0.0779220779220779</v>
      </c>
      <c r="E50" s="0" t="n">
        <f aca="false">C50/24</f>
        <v>0</v>
      </c>
      <c r="L50" s="0" t="s">
        <v>1017</v>
      </c>
      <c r="M50" s="0" t="s">
        <v>731</v>
      </c>
      <c r="N50" s="0" t="n">
        <f aca="false">COUNTIFS(INTOXICATE!$M$2:$M$115,"ICU",INTOXICATE!$U$2:$U$115,"Yes", INTOXICATE!$Q$2:$Q$115,"ICU")</f>
        <v>7</v>
      </c>
      <c r="O50" s="0" t="n">
        <f aca="false">COUNTIFS(INTOXICATE!$M$2:$M$115,"&lt;&gt;ICU",INTOXICATE!$U$2:$U$115,"Yes", INTOXICATE!$Q$2:$Q$115,"ICU")</f>
        <v>4</v>
      </c>
    </row>
    <row r="51" customFormat="false" ht="15" hidden="false" customHeight="false" outlineLevel="0" collapsed="false">
      <c r="A51" s="0" t="str">
        <f aca="false">INTOXICATE!AA8</f>
        <v>CO, As, CN</v>
      </c>
      <c r="B51" s="0" t="n">
        <f aca="false">COUNTIFS(
    INTOXICATE!$D$2:$D$150, "&gt;=18",
    INTOXICATE!$W$2:$W$150, "&lt;&gt;"&amp;INTOXICATE!$AB$6,
    INTOXICATE!$C$2:$C$150,  $A51
)</f>
        <v>9</v>
      </c>
      <c r="C51" s="0" t="n">
        <f aca="false">COUNTIFS(
    INTOXICATE!$D$2:$D$150, "&lt;18",
    INTOXICATE!$D$2:$D$150, "&gt;=12",
    INTOXICATE!$W$2:$W$150, "&lt;&gt;"&amp;INTOXICATE!$AB$6,
    INTOXICATE!$C$2:$C$150,  $A51
)</f>
        <v>0</v>
      </c>
      <c r="D51" s="0" t="n">
        <f aca="false">B51/77</f>
        <v>0.116883116883117</v>
      </c>
      <c r="E51" s="0" t="n">
        <f aca="false">C51/24</f>
        <v>0</v>
      </c>
      <c r="M51" s="0" t="s">
        <v>138</v>
      </c>
      <c r="N51" s="0" t="n">
        <f aca="false">COUNTIFS(INTOXICATE!$M$2:$M$115,"ICU",INTOXICATE!$U$2:$U$115,"Yes", INTOXICATE!$Q$2:$Q$115,"&lt;&gt;ICU")</f>
        <v>0</v>
      </c>
      <c r="O51" s="0" t="n">
        <f aca="false">COUNTIFS(INTOXICATE!$M$2:$M$115,"&lt;&gt;ICU",INTOXICATE!$U$2:$U$115,"Yes", INTOXICATE!$Q$2:$Q$115,"&lt;&gt;ICU")</f>
        <v>1</v>
      </c>
    </row>
    <row r="52" customFormat="false" ht="15" hidden="false" customHeight="false" outlineLevel="0" collapsed="false">
      <c r="A52" s="0" t="str">
        <f aca="false">INTOXICATE!AA9</f>
        <v>Unknown </v>
      </c>
      <c r="B52" s="0" t="n">
        <f aca="false">COUNTIFS(
    INTOXICATE!$D$2:$D$150, "&gt;=18",
    INTOXICATE!$W$2:$W$150, "&lt;&gt;"&amp;INTOXICATE!$AB$6,
    INTOXICATE!$C$2:$C$150,  $A52
)</f>
        <v>11</v>
      </c>
      <c r="C52" s="0" t="n">
        <f aca="false">COUNTIFS(
    INTOXICATE!$D$2:$D$150, "&lt;18",
    INTOXICATE!$D$2:$D$150, "&gt;=12",
    INTOXICATE!$W$2:$W$150, "&lt;&gt;"&amp;INTOXICATE!$AB$6,
    INTOXICATE!$C$2:$C$150,  $A52
)</f>
        <v>4</v>
      </c>
      <c r="D52" s="0" t="n">
        <f aca="false">B52/77</f>
        <v>0.142857142857143</v>
      </c>
      <c r="E52" s="0" t="n">
        <f aca="false">C52/24</f>
        <v>0.166666666666667</v>
      </c>
    </row>
    <row r="53" customFormat="false" ht="15" hidden="false" customHeight="false" outlineLevel="0" collapsed="false">
      <c r="A53" s="0" t="str">
        <f aca="false">INTOXICATE!AA10</f>
        <v>Combination</v>
      </c>
      <c r="B53" s="0" t="n">
        <f aca="false">COUNTIFS(
    INTOXICATE!$D$2:$D$150, "&gt;=18",
    INTOXICATE!$W$2:$W$150, "&lt;&gt;"&amp;INTOXICATE!$AB$6,
    INTOXICATE!$C$2:$C$150,  $A53
)</f>
        <v>15</v>
      </c>
      <c r="C53" s="0" t="n">
        <f aca="false">COUNTIFS(
    INTOXICATE!$D$2:$D$150, "&lt;18",
    INTOXICATE!$D$2:$D$150, "&gt;=12",
    INTOXICATE!$W$2:$W$150, "&lt;&gt;"&amp;INTOXICATE!$AB$6,
    INTOXICATE!$C$2:$C$150,  $A53
)</f>
        <v>1</v>
      </c>
      <c r="D53" s="0" t="n">
        <f aca="false">B53/77</f>
        <v>0.194805194805195</v>
      </c>
      <c r="E53" s="0" t="n">
        <f aca="false">C53/24</f>
        <v>0.0416666666666667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2"/>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D19" activeCellId="0" sqref="D19"/>
    </sheetView>
  </sheetViews>
  <sheetFormatPr defaultColWidth="8.83203125" defaultRowHeight="15" customHeight="true" zeroHeight="false" outlineLevelRow="0" outlineLevelCol="0"/>
  <cols>
    <col collapsed="false" customWidth="true" hidden="false" outlineLevel="0" max="1" min="1" style="0" width="10.51"/>
    <col collapsed="false" customWidth="true" hidden="false" outlineLevel="0" max="2" min="2" style="0" width="20.51"/>
    <col collapsed="false" customWidth="true" hidden="false" outlineLevel="0" max="3" min="3" style="0" width="12"/>
    <col collapsed="false" customWidth="true" hidden="false" outlineLevel="0" max="4" min="4" style="0" width="94.5"/>
  </cols>
  <sheetData>
    <row r="1" customFormat="false" ht="15" hidden="false" customHeight="false" outlineLevel="0" collapsed="false">
      <c r="A1" s="61" t="s">
        <v>1</v>
      </c>
      <c r="B1" s="61" t="s">
        <v>2</v>
      </c>
      <c r="C1" s="61" t="s">
        <v>4</v>
      </c>
      <c r="D1" s="61" t="s">
        <v>11</v>
      </c>
    </row>
    <row r="2" s="63" customFormat="true" ht="52" hidden="false" customHeight="false" outlineLevel="0" collapsed="false">
      <c r="A2" s="62" t="n">
        <v>45026</v>
      </c>
      <c r="B2" s="63" t="s">
        <v>1020</v>
      </c>
      <c r="C2" s="63" t="n">
        <v>1205351623</v>
      </c>
      <c r="D2" s="17" t="s">
        <v>1021</v>
      </c>
    </row>
    <row r="3" s="63" customFormat="true" ht="52" hidden="false" customHeight="false" outlineLevel="0" collapsed="false">
      <c r="A3" s="62" t="n">
        <v>45026</v>
      </c>
      <c r="B3" s="63" t="s">
        <v>1022</v>
      </c>
      <c r="C3" s="63" t="n">
        <v>1400844846</v>
      </c>
      <c r="D3" s="17" t="s">
        <v>1021</v>
      </c>
    </row>
    <row r="4" s="63" customFormat="true" ht="52" hidden="false" customHeight="false" outlineLevel="0" collapsed="false">
      <c r="A4" s="62" t="n">
        <v>45027</v>
      </c>
      <c r="B4" s="63" t="s">
        <v>1023</v>
      </c>
      <c r="C4" s="63" t="n">
        <v>1100584785</v>
      </c>
      <c r="D4" s="17" t="s">
        <v>1021</v>
      </c>
    </row>
    <row r="5" s="63" customFormat="true" ht="48" hidden="false" customHeight="false" outlineLevel="0" collapsed="false">
      <c r="A5" s="62" t="n">
        <v>45027</v>
      </c>
      <c r="B5" s="63" t="s">
        <v>1024</v>
      </c>
      <c r="C5" s="63" t="n">
        <v>1401175674</v>
      </c>
      <c r="D5" s="64" t="s">
        <v>1025</v>
      </c>
    </row>
    <row r="6" s="63" customFormat="true" ht="15" hidden="false" customHeight="false" outlineLevel="0" collapsed="false">
      <c r="A6" s="62" t="n">
        <v>45027</v>
      </c>
      <c r="B6" s="63" t="s">
        <v>1026</v>
      </c>
      <c r="C6" s="63" t="n">
        <v>1007731399</v>
      </c>
    </row>
    <row r="7" s="63" customFormat="true" ht="15" hidden="false" customHeight="false" outlineLevel="0" collapsed="false">
      <c r="A7" s="62" t="n">
        <v>45027</v>
      </c>
      <c r="B7" s="63" t="s">
        <v>1027</v>
      </c>
      <c r="C7" s="63" t="n">
        <v>1401178427</v>
      </c>
    </row>
    <row r="8" s="63" customFormat="true" ht="15" hidden="false" customHeight="false" outlineLevel="0" collapsed="false">
      <c r="A8" s="62" t="n">
        <v>45028</v>
      </c>
      <c r="B8" s="63" t="s">
        <v>1028</v>
      </c>
      <c r="C8" s="63" t="n">
        <v>1000422530</v>
      </c>
    </row>
    <row r="9" s="63" customFormat="true" ht="15" hidden="false" customHeight="false" outlineLevel="0" collapsed="false">
      <c r="A9" s="62" t="n">
        <v>45028</v>
      </c>
      <c r="B9" s="63" t="s">
        <v>1029</v>
      </c>
      <c r="C9" s="63" t="n">
        <v>1203455978</v>
      </c>
    </row>
    <row r="10" s="63" customFormat="true" ht="15" hidden="false" customHeight="false" outlineLevel="0" collapsed="false">
      <c r="A10" s="62" t="n">
        <v>45028</v>
      </c>
      <c r="B10" s="63" t="s">
        <v>1030</v>
      </c>
      <c r="C10" s="63" t="n">
        <v>1401179331</v>
      </c>
    </row>
    <row r="11" s="63" customFormat="true" ht="15" hidden="false" customHeight="false" outlineLevel="0" collapsed="false">
      <c r="A11" s="62" t="n">
        <v>45028</v>
      </c>
      <c r="B11" s="63" t="s">
        <v>1031</v>
      </c>
      <c r="C11" s="63" t="n">
        <v>1008038019</v>
      </c>
    </row>
    <row r="12" customFormat="false" ht="15" hidden="false" customHeight="false" outlineLevel="0" collapsed="false">
      <c r="A12" s="62" t="n">
        <v>45030</v>
      </c>
      <c r="B12" s="63" t="s">
        <v>1032</v>
      </c>
      <c r="C12" s="63" t="n">
        <v>1102776593</v>
      </c>
    </row>
    <row r="13" customFormat="false" ht="15" hidden="false" customHeight="false" outlineLevel="0" collapsed="false">
      <c r="A13" s="62" t="n">
        <v>45031</v>
      </c>
      <c r="B13" s="63" t="s">
        <v>1033</v>
      </c>
      <c r="C13" s="63" t="n">
        <v>1401183624</v>
      </c>
    </row>
    <row r="14" customFormat="false" ht="15" hidden="false" customHeight="false" outlineLevel="0" collapsed="false">
      <c r="A14" s="62" t="n">
        <v>45033</v>
      </c>
      <c r="B14" s="63" t="s">
        <v>1034</v>
      </c>
      <c r="C14" s="63" t="n">
        <v>1006922086</v>
      </c>
      <c r="D14" s="65" t="s">
        <v>1035</v>
      </c>
    </row>
    <row r="15" customFormat="false" ht="15" hidden="false" customHeight="false" outlineLevel="0" collapsed="false">
      <c r="A15" s="62" t="n">
        <v>45034</v>
      </c>
      <c r="B15" s="63" t="s">
        <v>1036</v>
      </c>
      <c r="C15" s="63" t="n">
        <v>1007133642</v>
      </c>
      <c r="D15" s="65"/>
    </row>
    <row r="16" customFormat="false" ht="15" hidden="false" customHeight="false" outlineLevel="0" collapsed="false">
      <c r="A16" s="66" t="n">
        <v>45034</v>
      </c>
      <c r="B16" s="0" t="s">
        <v>1037</v>
      </c>
      <c r="C16" s="0" t="n">
        <v>1007930850</v>
      </c>
    </row>
    <row r="17" customFormat="false" ht="15" hidden="false" customHeight="false" outlineLevel="0" collapsed="false">
      <c r="A17" s="66" t="n">
        <v>45037</v>
      </c>
      <c r="B17" s="0" t="s">
        <v>1038</v>
      </c>
      <c r="C17" s="0" t="n">
        <v>1401187351</v>
      </c>
    </row>
    <row r="18" customFormat="false" ht="15" hidden="false" customHeight="false" outlineLevel="0" collapsed="false">
      <c r="A18" s="66" t="n">
        <v>45038</v>
      </c>
      <c r="B18" s="0" t="s">
        <v>1039</v>
      </c>
      <c r="C18" s="0" t="n">
        <v>1201324361</v>
      </c>
    </row>
    <row r="19" customFormat="false" ht="36.5" hidden="false" customHeight="false" outlineLevel="0" collapsed="false">
      <c r="A19" s="66" t="n">
        <v>45039</v>
      </c>
      <c r="B19" s="0" t="s">
        <v>1040</v>
      </c>
      <c r="C19" s="0" t="n">
        <v>1400432623</v>
      </c>
      <c r="D19" s="34" t="s">
        <v>1021</v>
      </c>
    </row>
    <row r="20" customFormat="false" ht="36.5" hidden="false" customHeight="false" outlineLevel="0" collapsed="false">
      <c r="A20" s="66" t="n">
        <v>45039</v>
      </c>
      <c r="B20" s="0" t="s">
        <v>1041</v>
      </c>
      <c r="C20" s="0" t="n">
        <v>1000565302</v>
      </c>
      <c r="D20" s="34" t="s">
        <v>1042</v>
      </c>
    </row>
    <row r="21" customFormat="false" ht="36.5" hidden="false" customHeight="false" outlineLevel="0" collapsed="false">
      <c r="A21" s="66" t="n">
        <v>45045</v>
      </c>
      <c r="B21" s="0" t="s">
        <v>1043</v>
      </c>
      <c r="C21" s="0" t="n">
        <v>1203280315</v>
      </c>
      <c r="D21" s="34" t="s">
        <v>1021</v>
      </c>
    </row>
    <row r="22" customFormat="false" ht="36.5" hidden="false" customHeight="false" outlineLevel="0" collapsed="false">
      <c r="A22" s="66" t="n">
        <v>45045</v>
      </c>
      <c r="B22" s="0" t="s">
        <v>1044</v>
      </c>
      <c r="C22" s="0" t="n">
        <v>1010356971</v>
      </c>
      <c r="D22" s="34" t="s">
        <v>1021</v>
      </c>
    </row>
    <row r="23" customFormat="false" ht="36.5" hidden="false" customHeight="false" outlineLevel="0" collapsed="false">
      <c r="A23" s="66" t="n">
        <v>45046</v>
      </c>
      <c r="B23" s="0" t="s">
        <v>1045</v>
      </c>
      <c r="C23" s="0" t="n">
        <v>1101654813</v>
      </c>
      <c r="D23" s="34" t="s">
        <v>1021</v>
      </c>
    </row>
    <row r="24" customFormat="false" ht="36.5" hidden="false" customHeight="false" outlineLevel="0" collapsed="false">
      <c r="A24" s="66" t="n">
        <v>45046</v>
      </c>
      <c r="B24" s="0" t="s">
        <v>1046</v>
      </c>
      <c r="C24" s="0" t="n">
        <v>1401201782</v>
      </c>
      <c r="D24" s="34" t="s">
        <v>1021</v>
      </c>
    </row>
    <row r="25" customFormat="false" ht="48" hidden="false" customHeight="false" outlineLevel="0" collapsed="false">
      <c r="A25" s="66" t="n">
        <v>45047</v>
      </c>
      <c r="B25" s="0" t="s">
        <v>1047</v>
      </c>
      <c r="C25" s="0" t="n">
        <v>1006067284</v>
      </c>
      <c r="D25" s="67" t="s">
        <v>1048</v>
      </c>
    </row>
    <row r="26" customFormat="false" ht="15" hidden="false" customHeight="false" outlineLevel="0" collapsed="false">
      <c r="A26" s="66" t="n">
        <v>45049</v>
      </c>
      <c r="B26" s="0" t="s">
        <v>1049</v>
      </c>
      <c r="C26" s="0" t="n">
        <v>1401011614</v>
      </c>
      <c r="D26" s="0" t="s">
        <v>1050</v>
      </c>
    </row>
    <row r="27" customFormat="false" ht="15" hidden="false" customHeight="false" outlineLevel="0" collapsed="false">
      <c r="A27" s="66" t="n">
        <v>45051</v>
      </c>
      <c r="B27" s="0" t="s">
        <v>1051</v>
      </c>
      <c r="C27" s="0" t="n">
        <v>1010489188</v>
      </c>
      <c r="D27" s="68" t="s">
        <v>1052</v>
      </c>
    </row>
    <row r="28" customFormat="false" ht="36.5" hidden="false" customHeight="false" outlineLevel="0" collapsed="false">
      <c r="A28" s="66" t="n">
        <v>45052</v>
      </c>
      <c r="B28" s="0" t="s">
        <v>1053</v>
      </c>
      <c r="C28" s="0" t="n">
        <v>1400316000</v>
      </c>
      <c r="D28" s="34" t="s">
        <v>1021</v>
      </c>
    </row>
    <row r="29" customFormat="false" ht="36.5" hidden="false" customHeight="false" outlineLevel="0" collapsed="false">
      <c r="A29" s="66" t="n">
        <v>45053</v>
      </c>
      <c r="B29" s="0" t="s">
        <v>1054</v>
      </c>
      <c r="C29" s="0" t="n">
        <v>1400163746</v>
      </c>
      <c r="D29" s="34" t="s">
        <v>1021</v>
      </c>
    </row>
    <row r="30" customFormat="false" ht="36.5" hidden="false" customHeight="false" outlineLevel="0" collapsed="false">
      <c r="A30" s="66" t="n">
        <v>45071</v>
      </c>
      <c r="B30" s="0" t="s">
        <v>1055</v>
      </c>
      <c r="C30" s="0" t="n">
        <v>1401210629</v>
      </c>
      <c r="D30" s="34" t="s">
        <v>1021</v>
      </c>
    </row>
    <row r="31" customFormat="false" ht="36.5" hidden="false" customHeight="false" outlineLevel="0" collapsed="false">
      <c r="A31" s="66" t="n">
        <v>45076</v>
      </c>
      <c r="B31" s="0" t="s">
        <v>1056</v>
      </c>
      <c r="C31" s="0" t="n">
        <v>1400486325</v>
      </c>
      <c r="D31" s="34" t="s">
        <v>1021</v>
      </c>
    </row>
    <row r="32" customFormat="false" ht="36.5" hidden="false" customHeight="false" outlineLevel="0" collapsed="false">
      <c r="A32" s="66" t="n">
        <v>45077</v>
      </c>
      <c r="B32" s="0" t="s">
        <v>119</v>
      </c>
      <c r="C32" s="0" t="n">
        <v>1102644291</v>
      </c>
      <c r="D32" s="34" t="s">
        <v>1021</v>
      </c>
    </row>
    <row r="33" customFormat="false" ht="48" hidden="false" customHeight="false" outlineLevel="0" collapsed="false">
      <c r="A33" s="66" t="n">
        <v>45080</v>
      </c>
      <c r="B33" s="0" t="s">
        <v>1057</v>
      </c>
      <c r="C33" s="0" t="n">
        <v>1400827203</v>
      </c>
      <c r="D33" s="67" t="s">
        <v>1025</v>
      </c>
    </row>
    <row r="34" customFormat="false" ht="36.5" hidden="false" customHeight="false" outlineLevel="0" collapsed="false">
      <c r="A34" s="66" t="n">
        <v>45085</v>
      </c>
      <c r="B34" s="0" t="s">
        <v>1058</v>
      </c>
      <c r="C34" s="0" t="n">
        <v>1010212925</v>
      </c>
      <c r="D34" s="34" t="s">
        <v>1021</v>
      </c>
    </row>
    <row r="35" customFormat="false" ht="36.5" hidden="false" customHeight="false" outlineLevel="0" collapsed="false">
      <c r="A35" s="66" t="n">
        <v>45095</v>
      </c>
      <c r="B35" s="0" t="s">
        <v>1059</v>
      </c>
      <c r="C35" s="0" t="n">
        <v>1006906795</v>
      </c>
      <c r="D35" s="34" t="s">
        <v>1021</v>
      </c>
    </row>
    <row r="36" customFormat="false" ht="15" hidden="false" customHeight="false" outlineLevel="0" collapsed="false">
      <c r="A36" s="66" t="n">
        <v>45097</v>
      </c>
      <c r="B36" s="0" t="s">
        <v>1060</v>
      </c>
      <c r="C36" s="0" t="n">
        <v>1401311857</v>
      </c>
      <c r="D36" s="68" t="s">
        <v>1052</v>
      </c>
    </row>
    <row r="37" customFormat="false" ht="25" hidden="false" customHeight="false" outlineLevel="0" collapsed="false">
      <c r="A37" s="66" t="n">
        <v>45099</v>
      </c>
      <c r="B37" s="0" t="s">
        <v>1061</v>
      </c>
      <c r="C37" s="0" t="n">
        <v>1007515500</v>
      </c>
      <c r="D37" s="34" t="s">
        <v>1062</v>
      </c>
    </row>
    <row r="38" customFormat="false" ht="36.5" hidden="false" customHeight="false" outlineLevel="0" collapsed="false">
      <c r="A38" s="66" t="n">
        <v>45100</v>
      </c>
      <c r="B38" s="0" t="s">
        <v>1063</v>
      </c>
      <c r="C38" s="0" t="n">
        <v>1400611805</v>
      </c>
      <c r="D38" s="34" t="s">
        <v>1021</v>
      </c>
    </row>
    <row r="39" customFormat="false" ht="36.5" hidden="false" customHeight="false" outlineLevel="0" collapsed="false">
      <c r="A39" s="66" t="n">
        <v>45101</v>
      </c>
      <c r="B39" s="0" t="s">
        <v>1064</v>
      </c>
      <c r="C39" s="0" t="n">
        <v>1401317998</v>
      </c>
      <c r="D39" s="34" t="s">
        <v>1021</v>
      </c>
    </row>
    <row r="40" customFormat="false" ht="36.5" hidden="false" customHeight="false" outlineLevel="0" collapsed="false">
      <c r="A40" s="66" t="n">
        <v>45110</v>
      </c>
      <c r="B40" s="0" t="s">
        <v>1065</v>
      </c>
      <c r="C40" s="0" t="n">
        <v>1401073700</v>
      </c>
      <c r="D40" s="34" t="s">
        <v>1066</v>
      </c>
    </row>
    <row r="41" customFormat="false" ht="36.5" hidden="false" customHeight="false" outlineLevel="0" collapsed="false">
      <c r="A41" s="66" t="n">
        <v>45110</v>
      </c>
      <c r="B41" s="0" t="s">
        <v>1067</v>
      </c>
      <c r="C41" s="0" t="n">
        <v>1401327891</v>
      </c>
      <c r="D41" s="34" t="s">
        <v>1021</v>
      </c>
    </row>
    <row r="42" customFormat="false" ht="36.5" hidden="false" customHeight="false" outlineLevel="0" collapsed="false">
      <c r="A42" s="66" t="n">
        <v>45111</v>
      </c>
      <c r="B42" s="0" t="s">
        <v>1068</v>
      </c>
      <c r="C42" s="0" t="n">
        <v>1203195479</v>
      </c>
      <c r="D42" s="34" t="s">
        <v>1069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en-US</dc:language>
  <cp:lastModifiedBy/>
  <dcterms:modified xsi:type="dcterms:W3CDTF">2025-09-01T20:48:01Z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b57ef57-3711-4d0f-977a-1ea488dc371e_ActionId">
    <vt:lpwstr>ac996547-54bb-430d-8a24-0124c98bb068</vt:lpwstr>
  </property>
  <property fmtid="{D5CDD505-2E9C-101B-9397-08002B2CF9AE}" pid="3" name="MSIP_Label_bb57ef57-3711-4d0f-977a-1ea488dc371e_ContentBits">
    <vt:lpwstr>0</vt:lpwstr>
  </property>
  <property fmtid="{D5CDD505-2E9C-101B-9397-08002B2CF9AE}" pid="4" name="MSIP_Label_bb57ef57-3711-4d0f-977a-1ea488dc371e_Enabled">
    <vt:lpwstr>true</vt:lpwstr>
  </property>
  <property fmtid="{D5CDD505-2E9C-101B-9397-08002B2CF9AE}" pid="5" name="MSIP_Label_bb57ef57-3711-4d0f-977a-1ea488dc371e_Method">
    <vt:lpwstr>Privileged</vt:lpwstr>
  </property>
  <property fmtid="{D5CDD505-2E9C-101B-9397-08002B2CF9AE}" pid="6" name="MSIP_Label_bb57ef57-3711-4d0f-977a-1ea488dc371e_Name">
    <vt:lpwstr>High Risk</vt:lpwstr>
  </property>
  <property fmtid="{D5CDD505-2E9C-101B-9397-08002B2CF9AE}" pid="7" name="MSIP_Label_bb57ef57-3711-4d0f-977a-1ea488dc371e_SetDate">
    <vt:lpwstr>2023-03-01T23:35:28Z</vt:lpwstr>
  </property>
  <property fmtid="{D5CDD505-2E9C-101B-9397-08002B2CF9AE}" pid="8" name="MSIP_Label_bb57ef57-3711-4d0f-977a-1ea488dc371e_SiteId">
    <vt:lpwstr>f71b58b5-4126-43a9-bcb3-21c9de6f5241</vt:lpwstr>
  </property>
</Properties>
</file>